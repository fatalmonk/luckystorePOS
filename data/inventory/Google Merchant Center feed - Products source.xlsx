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<sst xmlns="http://schemas.openxmlformats.org/spreadsheetml/2006/main" count="2137" uniqueCount="631">
  <si>
    <t>brand</t>
  </si>
  <si>
    <t>INV-001</t>
  </si>
  <si>
    <t>Pepsodent Advanced Salt 70g</t>
  </si>
  <si>
    <t>Pepsodent Advanced Salt Toothpaste 70g. Helps strengthen teeth and provides advanced salt benefits.</t>
  </si>
  <si>
    <t>in_stock</t>
  </si>
  <si>
    <t>new</t>
  </si>
  <si>
    <t>yes</t>
  </si>
  <si>
    <t>853764007422</t>
  </si>
  <si>
    <t>GOOG70TU7000</t>
  </si>
  <si>
    <t>"New Display LED", "Resolution 4K (2160p)"</t>
  </si>
  <si>
    <t>"Display Type:LED:new", "Display:Resolution:4K (2160p)"</t>
  </si>
  <si>
    <t>https://static.awesomebrand.com/1111_100-1.jpg,https://static.awesomebrand.com/1111_100-2.jpg,</t>
  </si>
  <si>
    <t>no</t>
  </si>
  <si>
    <t>Titan Gray</t>
  </si>
  <si>
    <t>70"</t>
  </si>
  <si>
    <t/>
  </si>
  <si>
    <t>3</t>
  </si>
  <si>
    <t>1.5 kg</t>
  </si>
  <si>
    <t>100 g</t>
  </si>
  <si>
    <t>INV-002</t>
  </si>
  <si>
    <t>Transtec LED Bright 7w Pin</t>
  </si>
  <si>
    <t>Transtec LED Bright 7w Pin bulb. Energy efficient lighting for home or office.</t>
  </si>
  <si>
    <t>INV-003</t>
  </si>
  <si>
    <t>Doodles Instant Noodles Masala 62g (24 Pack)</t>
  </si>
  <si>
    <t>Doodles Instant Noodles Masala flavor 62g pack of 24. Quick and tasty meal.</t>
  </si>
  <si>
    <t>INV-004</t>
  </si>
  <si>
    <t>Pepsodent Advanced Salt 140g</t>
  </si>
  <si>
    <t>Pepsodent Advanced Salt Toothpaste 140g. Advanced salt formula for oral care.</t>
  </si>
  <si>
    <t>INV-005</t>
  </si>
  <si>
    <t>Transtec LED Bright 5w Pin</t>
  </si>
  <si>
    <t>Transtec LED Bright 5w Pin bulb. Compact and energy saving.</t>
  </si>
  <si>
    <t>INV-006</t>
  </si>
  <si>
    <t>Pepsodent Germicheck 85g</t>
  </si>
  <si>
    <t>Pepsodent Germicheck Toothpaste 85g (80g net). Germ protection for healthy teeth.</t>
  </si>
  <si>
    <t>INV-007</t>
  </si>
  <si>
    <t>Radhuni Vinegar 280ml</t>
  </si>
  <si>
    <t>Radhuni Vinegar 280ml. Perfect for salads</t>
  </si>
  <si>
    <t>pickling</t>
  </si>
  <si>
    <t>http://www.yourstore.com/images/radhuni-vinegar.jpg</t>
  </si>
  <si>
    <t>BATCH-001</t>
  </si>
  <si>
    <t>INV-008</t>
  </si>
  <si>
    <t>Close Up Toothpaste Sea Salt 140g</t>
  </si>
  <si>
    <t>Close Up Toothpaste with Sea Salt 140g. Fresh breath and strong teeth.</t>
  </si>
  <si>
    <t>INV-009</t>
  </si>
  <si>
    <t>Nescafe Sunrise 3in1 10g Sachet (FREE)</t>
  </si>
  <si>
    <t>Nescafe Sunrise 3in1 instant coffee mix 10g sachet. Free sample.</t>
  </si>
  <si>
    <t>INV-010</t>
  </si>
  <si>
    <t>Close Up Menthol Fresh Toothpaste 38g</t>
  </si>
  <si>
    <t>Close Up Menthol Fresh Toothpaste 38g. Intense mint freshness.</t>
  </si>
  <si>
    <t>INV-011</t>
  </si>
  <si>
    <t>Axe Black Deodorant Body Spray -150ml</t>
  </si>
  <si>
    <t>Axe Black Deodorant Body Spray 150ml. Long lasting fragrance.</t>
  </si>
  <si>
    <t>INV-012</t>
  </si>
  <si>
    <t>Lux Soap Soft Touch 75g</t>
  </si>
  <si>
    <t>Lux Soap Soft Touch 75g. Leaves skin soft and fragrant.</t>
  </si>
  <si>
    <t>INV-013</t>
  </si>
  <si>
    <t>Pepsodent Sensitive Expert 140</t>
  </si>
  <si>
    <t>Pepsodent Sensitive Expert Toothpaste 140g. Relief for sensitive teeth.</t>
  </si>
  <si>
    <t>INV-014</t>
  </si>
  <si>
    <t>Pepsodent Germicheck 40g</t>
  </si>
  <si>
    <t>Pepsodent Germicheck Toothpaste 40g. Travel size germ protection.</t>
  </si>
  <si>
    <t>INV-015</t>
  </si>
  <si>
    <t>Axe Apollo Deodorant Body Spray</t>
  </si>
  <si>
    <t>Axe Apollo Deodorant Body Spray. Fresh and masculine scent.</t>
  </si>
  <si>
    <t>INV-016</t>
  </si>
  <si>
    <t>Radhuni Fried Rice Mix 8gm</t>
  </si>
  <si>
    <t>Radhuni Fried Rice Mix 8gm. Authentic spice blend for fried rice.</t>
  </si>
  <si>
    <t>INV-017</t>
  </si>
  <si>
    <t>Ponds Pure White 50g</t>
  </si>
  <si>
    <t>Ponds Pure White Facewash 50g. For visibly fairer skin.</t>
  </si>
  <si>
    <t>INV-018</t>
  </si>
  <si>
    <t>Surf Excel Matic Liquid Top 500ml</t>
  </si>
  <si>
    <t>Surf Excel Matic Liquid Top 500ml. For automatic washing machines.</t>
  </si>
  <si>
    <t>INV-019</t>
  </si>
  <si>
    <t>Pepsodent Sensitive Gum Care 140g</t>
  </si>
  <si>
    <t>Pepsodent Sensitive Gum Care Toothpaste 140g. For gum health and sensitivity.</t>
  </si>
  <si>
    <t>INV-020</t>
  </si>
  <si>
    <t>Close Up Menthol Fresh Toothpaste 7g</t>
  </si>
  <si>
    <t>Close Up Menthol Fresh Toothpaste 7g. Pocket size freshness.</t>
  </si>
  <si>
    <t>INV-021</t>
  </si>
  <si>
    <t>Radhuni Sunflower Oil 1ltr</t>
  </si>
  <si>
    <t>Radhuni Sunflower Oil 1 liter. Healthy cooking oil.</t>
  </si>
  <si>
    <t>INV-022</t>
  </si>
  <si>
    <t>Ponds Pure White 100g</t>
  </si>
  <si>
    <t>Ponds Pure White Facewash 100g. Double pack for fair skin.</t>
  </si>
  <si>
    <t>INV-023</t>
  </si>
  <si>
    <t>Foodie Masala Noodles 8 Pack</t>
  </si>
  <si>
    <t>Foodie Masala Noodles 8 pack. Quick and delicious masala noodles.</t>
  </si>
  <si>
    <t>INV-024</t>
  </si>
  <si>
    <t>Pepsodent Germicheck 190g</t>
  </si>
  <si>
    <t>Pepsodent Germicheck Toothpaste 190g. Family size germ protection.</t>
  </si>
  <si>
    <t>INV-025</t>
  </si>
  <si>
    <t>Kellogs K-Park 26g</t>
  </si>
  <si>
    <t>Kellogs K-Park 26g. Crispy and tasty cereal snack.</t>
  </si>
  <si>
    <t>INV-026</t>
  </si>
  <si>
    <t>Solecti Cookies - Standard Pack</t>
  </si>
  <si>
    <t>Solecti Cookies Standard Pack. Check the name - delicious cookies.</t>
  </si>
  <si>
    <t>INV-027</t>
  </si>
  <si>
    <t>Lux Soap Soft Touch 25g</t>
  </si>
  <si>
    <t>Lux Soap Soft Touch 25g. Small size beauty soap.</t>
  </si>
  <si>
    <t>INV-028</t>
  </si>
  <si>
    <t>Pepsodent Sensitive Expert Fresh 15g</t>
  </si>
  <si>
    <t>Pepsodent Sensitive Expert Fresh 15g. Free promotional item.</t>
  </si>
  <si>
    <t>INV-029</t>
  </si>
  <si>
    <t>Tang Orange Jar 750gm</t>
  </si>
  <si>
    <t>Tang Orange Jar 750gm. Vitamin C rich orange drink.</t>
  </si>
  <si>
    <t>INV-030</t>
  </si>
  <si>
    <t>Orange Biscuit - Standard Pack</t>
  </si>
  <si>
    <t>Orange Biscuit Standard Pack. Price written 4*24 but charged 8*24 - please check.</t>
  </si>
  <si>
    <t>INV-031</t>
  </si>
  <si>
    <t>⁠Starship Jhal Chanachur 300gm</t>
  </si>
  <si>
    <t>Starship Jhal Chanachur 300gm. Spicy and crunchy mix.</t>
  </si>
  <si>
    <t>INV-032</t>
  </si>
  <si>
    <t>Kings Pure Sunflower Oil 2L</t>
  </si>
  <si>
    <t>Kings Pure Sunflower Oil 2L. Pure and healthy sunflower oil.</t>
  </si>
  <si>
    <t>INV-033</t>
  </si>
  <si>
    <t>Radhuni Jira Gura 200gm</t>
  </si>
  <si>
    <t>Radhuni Jira Gura (Ground Cumin) 200gm. Aromatic spice.</t>
  </si>
  <si>
    <t>INV-034</t>
  </si>
  <si>
    <t>Sunsilk Shampoo Hair Fall Solution</t>
  </si>
  <si>
    <t>Sunsilk Shampoo Hair Fall Solution 5.25ml. Small sachet for hair fall control.</t>
  </si>
  <si>
    <t>INV-035</t>
  </si>
  <si>
    <t>Chocolate Plus - Classic Pack</t>
  </si>
  <si>
    <t>Chocolate Plus Classic Pack. Chocolate flavored biscuits.</t>
  </si>
  <si>
    <t>INV-036</t>
  </si>
  <si>
    <t>Radhuni Jira Gura 100gm</t>
  </si>
  <si>
    <t>Radhuni Jira Gura (Ground Cumin) 100gm. Essential for curries.</t>
  </si>
  <si>
    <t>INV-037</t>
  </si>
  <si>
    <t>Knorr Soup 31g</t>
  </si>
  <si>
    <t>Knorr Soup 31g. Quick and tasty instant soup.</t>
  </si>
  <si>
    <t>INV-038</t>
  </si>
  <si>
    <t>Sunsilk Shampoo Thick &amp; Long 5.25</t>
  </si>
  <si>
    <t>Sunsilk Shampoo Thick &amp; Long 5.25ml. For thicker</t>
  </si>
  <si>
    <t>Unilever</t>
  </si>
  <si>
    <t>INV-039</t>
  </si>
  <si>
    <t>Milk Plus - Classic Pack</t>
  </si>
  <si>
    <t>Milk Plus Classic Pack. Milky and sweet biscuits.</t>
  </si>
  <si>
    <t>INV-040</t>
  </si>
  <si>
    <t>Radhuni Chui Jhal Mangsho Masala 38gm</t>
  </si>
  <si>
    <t>Radhuni Chui Jhal Mangsho Masala 38gm. Spicy meat curry mix.</t>
  </si>
  <si>
    <t>Isubgul</t>
  </si>
  <si>
    <t>Sunsilk Conditioner Hair Fall Solution 8ml</t>
  </si>
  <si>
    <t>Lifebouy Health Care 90g</t>
  </si>
  <si>
    <t>Hello Cookies - Classic Pack</t>
  </si>
  <si>
    <t>Clear Shampoo Cool Sport Menthol 170ml</t>
  </si>
  <si>
    <t>Sunsilk Shampoo Black Shine 5.25ml</t>
  </si>
  <si>
    <t>Slice Pound Cake Chocolate</t>
  </si>
  <si>
    <t>Kitkat 4 Finger</t>
  </si>
  <si>
    <t>Lexus - Family Pack</t>
  </si>
  <si>
    <t>Nivea Fresh Natural Roll On - 50ml</t>
  </si>
  <si>
    <t>Sunsilk Shampoo Black Shine 330ml</t>
  </si>
  <si>
    <t>Radhuni Dhoniya Gura 50gm</t>
  </si>
  <si>
    <t>Bellame Peanut Bite Cookies 240g</t>
  </si>
  <si>
    <t>Haiko Bit Salt Powder - 80g</t>
  </si>
  <si>
    <t>Volt Pencil Battery UM-4</t>
  </si>
  <si>
    <t>Safe Touch 0034 4Port 5m Cable Multiplug Heavy Duty White</t>
  </si>
  <si>
    <t>Sunsilk Hairfall Solution 170ml</t>
  </si>
  <si>
    <t>Paijam Atob 25KG (Boiled)</t>
  </si>
  <si>
    <t>Domex 750ml</t>
  </si>
  <si>
    <t>Tresemme Shampoo Color Revitalized 580ml</t>
  </si>
  <si>
    <t>Sunsilk Black Shine 170ml</t>
  </si>
  <si>
    <t>Radhuni Vinegar 540ml</t>
  </si>
  <si>
    <t>Clear Shampoo Cool Sport Menthol 5ml</t>
  </si>
  <si>
    <t>Tresemme Shampoo Keratin Smooth 185ml</t>
  </si>
  <si>
    <t>Sunsilk Hijab Refresh 340ml</t>
  </si>
  <si>
    <t>Tresemme Keratin 190ml</t>
  </si>
  <si>
    <t>Dano Daily Pusti 200g</t>
  </si>
  <si>
    <t>Sunsilk Shampoo Thick &amp; Long 340ml</t>
  </si>
  <si>
    <t>Jirashail 25KG (Bashir)</t>
  </si>
  <si>
    <t>Ponds White Beauty 50g</t>
  </si>
  <si>
    <t>Lifebouy Health Care 150g</t>
  </si>
  <si>
    <t>Sunsilk Shampoo Thick &amp; Long 170ml</t>
  </si>
  <si>
    <t>Dove Shampoo Hairfall Rescue 170ml</t>
  </si>
  <si>
    <t>Orange Biscuit - Family Pack</t>
  </si>
  <si>
    <t>Dove Cream Bar 135g</t>
  </si>
  <si>
    <t>Sunsilk Shampoo Black Shine 80ml</t>
  </si>
  <si>
    <t>Dove Shampoo Intensive Repair 170ml</t>
  </si>
  <si>
    <t>Dove Cream Pink Bar 135g</t>
  </si>
  <si>
    <t>Dove Shampoo Nourishing Oil 170ml</t>
  </si>
  <si>
    <t>Sunsilk Hairfall Solution 340ml</t>
  </si>
  <si>
    <t>Onions - piyaj</t>
  </si>
  <si>
    <t>Sunsilk Shampoo Onion 375ml</t>
  </si>
  <si>
    <t>Radhuni Gorur Mangsho Masala 100gm</t>
  </si>
  <si>
    <t>Surf Excel 500g</t>
  </si>
  <si>
    <t>Rin Fabric Solution Liquid 400ml</t>
  </si>
  <si>
    <t>Close Up Menthol Fresh Toothpaste 85g</t>
  </si>
  <si>
    <t>Sunsilk Conditioner Hair Fall Solution 180ml</t>
  </si>
  <si>
    <t xml:space="preserve">Surf Excel Matic Liquid Top 1L </t>
  </si>
  <si>
    <t>Bashundhara Facial tissue box 120pcs</t>
  </si>
  <si>
    <t>Glucose mini</t>
  </si>
  <si>
    <t>Sunsilk Shampoo Volume 375ml</t>
  </si>
  <si>
    <t>Dove Shampoo Intensive Repair 330ml</t>
  </si>
  <si>
    <t>Lifebouy Liquid Total 200ml</t>
  </si>
  <si>
    <t>Radhuni Premium Ghee 200gm</t>
  </si>
  <si>
    <t>Dove Shampoo Oxygen Moisture 330ml</t>
  </si>
  <si>
    <t>Clear Shampoo Complete Active Care 5.5ml</t>
  </si>
  <si>
    <t>Clear Shampoo Anti Hair Fall 330ml</t>
  </si>
  <si>
    <t>Lifebouy Liquid Handwash Care 200g</t>
  </si>
  <si>
    <t>Ponds Superlight Gel 100ml</t>
  </si>
  <si>
    <t>Clear Shampoo Complete Active Care 170ml</t>
  </si>
  <si>
    <t>Clear Shampoo Complete Active Care 330ml</t>
  </si>
  <si>
    <t>Kodomo Bubble Fruit Toothpaste Gel Ultra Shield Formula (0.5 Years Up) - 40g</t>
  </si>
  <si>
    <t>Ponds Skin Cream White Beauty 35g</t>
  </si>
  <si>
    <t>Miniket Atob (Shonko) Loose</t>
  </si>
  <si>
    <t>Marks Powder 75gm</t>
  </si>
  <si>
    <t>Transtec LED Bright 15w Pin</t>
  </si>
  <si>
    <t>Knorr Soup Chicken Corn 24g</t>
  </si>
  <si>
    <t>Dove Cream Bar 50g</t>
  </si>
  <si>
    <t>Knorr Soup Thai 28g</t>
  </si>
  <si>
    <t>Detos Sweet Chilli Chips 30g</t>
  </si>
  <si>
    <t>Standard Horlicks Jar 18g</t>
  </si>
  <si>
    <t>Surf Excel Fabric Solution Quick Wash 18g</t>
  </si>
  <si>
    <t>Vim Dish Washing Bar 125g</t>
  </si>
  <si>
    <t>Vim Dish Washing Powder 500g</t>
  </si>
  <si>
    <t>Glucose 350g</t>
  </si>
  <si>
    <t>Kellogs Oats 900g</t>
  </si>
  <si>
    <t>Aarong Standardized Milk 500ml</t>
  </si>
  <si>
    <t>Tang Orange Refill Pack 200gm</t>
  </si>
  <si>
    <t xml:space="preserve">detol bodywash </t>
  </si>
  <si>
    <t>Maggi Shaad-E-Magic 4g</t>
  </si>
  <si>
    <t>Maggi Chicken Sizzling 8g</t>
  </si>
  <si>
    <t>Maggi Fried Chicken 400g</t>
  </si>
  <si>
    <t>Nescafe Americano 8g sachet</t>
  </si>
  <si>
    <t>Nescafe Hazelnut Latte</t>
  </si>
  <si>
    <t>Nescafe Classic 0.9g Sachet</t>
  </si>
  <si>
    <t>Vim Dish Washing Bar 300g</t>
  </si>
  <si>
    <t>Energy Plus - Standard Pack</t>
  </si>
  <si>
    <t>Tip -Standard Pack</t>
  </si>
  <si>
    <t>Nutty - Standard Pack</t>
  </si>
  <si>
    <t>Honey Tea Bag 25g</t>
  </si>
  <si>
    <t>Lipton Pure Tea 25g</t>
  </si>
  <si>
    <t>Radhuni Holud Gura 50gm</t>
  </si>
  <si>
    <t>Taaza Tea Bag</t>
  </si>
  <si>
    <t xml:space="preserve">Doodles Stick Noodles 150g </t>
  </si>
  <si>
    <t>Taaza 50g</t>
  </si>
  <si>
    <t>Transtec LED Bright 9w Pin</t>
  </si>
  <si>
    <t>Clear Shampoo Cool Sport Menthol 80ml</t>
  </si>
  <si>
    <t>Taaza 100g</t>
  </si>
  <si>
    <t>Nutrilife Pomegranate 1L</t>
  </si>
  <si>
    <t>Lifebouy Liquid Lemon Fresh 200ml</t>
  </si>
  <si>
    <t>Taaza 400g</t>
  </si>
  <si>
    <t>Oats Bar</t>
  </si>
  <si>
    <t>Digestive -Standard Pack</t>
  </si>
  <si>
    <t>Tang Orange Refill Pack 500gm</t>
  </si>
  <si>
    <t>Radhuni Kala Bhuna 80gm</t>
  </si>
  <si>
    <t>Radhuni Dhoniya Gura 100gm</t>
  </si>
  <si>
    <t>Taaza 500g</t>
  </si>
  <si>
    <t>Tip - Family Pack</t>
  </si>
  <si>
    <t>Lifebouy Health Soap Total 90g</t>
  </si>
  <si>
    <t>Radhuni Mezbani Gorur Masala 68gm</t>
  </si>
  <si>
    <t>Radhuni Panch Phoron Powder</t>
  </si>
  <si>
    <t>Taaza 500g 3 star</t>
  </si>
  <si>
    <t>Lifebouy Health Soap Lemon Fresh 90g</t>
  </si>
  <si>
    <t>Godrej Good Knight Power Activ+ (Machine + Refill)</t>
  </si>
  <si>
    <t>Radhuni Morich Gura 200gm</t>
  </si>
  <si>
    <t>Pond Daily 100g</t>
  </si>
  <si>
    <t>Lifebouy Hand Soap Total 90g</t>
  </si>
  <si>
    <t>Doodles Instant Noodles Ramen 62g (8 Pack)</t>
  </si>
  <si>
    <t>Dove Conditioner Intensive Repair 7ml</t>
  </si>
  <si>
    <t>Dove Conditioner Hairfall Rescue 170ml</t>
  </si>
  <si>
    <t>Godrej Good Knigth Bullet (Machine+Refill)</t>
  </si>
  <si>
    <t>Eggs - White (Loose)</t>
  </si>
  <si>
    <t>Bellame Digestive Biscuit 135g</t>
  </si>
  <si>
    <t>Radhuni Morich Gura 500gm</t>
  </si>
  <si>
    <t>Goodknight Refill Liquid (45ml)</t>
  </si>
  <si>
    <t>Transtec Backup 10w Churi</t>
  </si>
  <si>
    <t>Bashundhara Facial tissue box 150pcs</t>
  </si>
  <si>
    <t>Lux Soap Velvet Touch 150g</t>
  </si>
  <si>
    <t>Godrej Red HIT (200ml)</t>
  </si>
  <si>
    <t>Radhuni Holud Gura 500gm</t>
  </si>
  <si>
    <t>Dove Shampoo Intensive Repair 6ml</t>
  </si>
  <si>
    <t>Radhuni Murgir Masala 100gm</t>
  </si>
  <si>
    <t>Ponds Light 50ml</t>
  </si>
  <si>
    <t>Seylon Cha Pata 500gm</t>
  </si>
  <si>
    <t>Lux Soap Soft Touch 150g</t>
  </si>
  <si>
    <t>Godrej Red Hit (400ml)</t>
  </si>
  <si>
    <t>Radhuni Dhoniya Gura 500gm</t>
  </si>
  <si>
    <t>Dairy Milk 18gm</t>
  </si>
  <si>
    <t>Dove Shampoo Hairfall Rescue 6ml</t>
  </si>
  <si>
    <t>Ispahani Blenders Choice Premium Black Tea - 400g</t>
  </si>
  <si>
    <t>Ponds Superlight Gel 50ml</t>
  </si>
  <si>
    <t>Rin Fabric Solution Power Bright 500g</t>
  </si>
  <si>
    <t>Godrej Black Hit (200ml)</t>
  </si>
  <si>
    <t>Vim Dish Washing Liquid 475ml</t>
  </si>
  <si>
    <t>Radhuni Dhoniya Gura 15gm</t>
  </si>
  <si>
    <t>⁠Starship Chocolate Milk 200ml</t>
  </si>
  <si>
    <t>Radhuni Morich Gura 25gm</t>
  </si>
  <si>
    <t>Nan Opti Pro 1 300g</t>
  </si>
  <si>
    <t>Vim Dish Washing Liquid 200ml</t>
  </si>
  <si>
    <t>Kellogs Chocos 127g</t>
  </si>
  <si>
    <t>Bourbon Cookies -Classic Pack</t>
  </si>
  <si>
    <t>Ispahani Blenders Choice Premium Black Tea - 200g</t>
  </si>
  <si>
    <t>Radhuni Jira Gura 15gm</t>
  </si>
  <si>
    <t>Pulse - Mango Masala</t>
  </si>
  <si>
    <t>Dairy Milk Silk 55gm</t>
  </si>
  <si>
    <t>Energy Plus - Family Pack</t>
  </si>
  <si>
    <t>Godrej Black Hit/Lime (475ml)</t>
  </si>
  <si>
    <t>Kellogs Oats 400g</t>
  </si>
  <si>
    <t>Radhuni Kasundi 285ml</t>
  </si>
  <si>
    <t>Close Up Menthol Fresh Toothpaste 145g</t>
  </si>
  <si>
    <t>Godrej Soap</t>
  </si>
  <si>
    <t>Vim Dish Washing Liquid 1L</t>
  </si>
  <si>
    <t>Kopi - Candy</t>
  </si>
  <si>
    <t>Dairy Milk Silk Fruit &amp; Nut 55gm</t>
  </si>
  <si>
    <t>Nutty - Family Pack</t>
  </si>
  <si>
    <t>Fortune Basmati Rice 1KG</t>
  </si>
  <si>
    <t>Seylon Tea Bag Pyramid 2gm</t>
  </si>
  <si>
    <t>Radhuni Mangsho Masala 100gm</t>
  </si>
  <si>
    <t>Radhuni Premium Ghee 100gm</t>
  </si>
  <si>
    <t>Radhuni Shorisha Oil 1ltr</t>
  </si>
  <si>
    <t>Radhuni Shorisha Oil 500ml</t>
  </si>
  <si>
    <t>Radhuni Morich Gura 100gm</t>
  </si>
  <si>
    <t>Milk Mary - Family Pack</t>
  </si>
  <si>
    <t>Dairy Milk Perk</t>
  </si>
  <si>
    <t>Godrej Powder Hair Dye Black 3g</t>
  </si>
  <si>
    <t>Toffeeto Chocolate</t>
  </si>
  <si>
    <t>Nescafe Classic 200g Pouch</t>
  </si>
  <si>
    <t>Radhuni Kacchi Biriyani Masala 40gm</t>
  </si>
  <si>
    <t>Shell &amp; Core</t>
  </si>
  <si>
    <t>Hello Cookies - Family Pack</t>
  </si>
  <si>
    <t>Expert Shampoo Hair Color 9g</t>
  </si>
  <si>
    <t>Mojo 250ml</t>
  </si>
  <si>
    <t>Bashundhara Restaurant Napkin</t>
  </si>
  <si>
    <t>Lux Soap Velvet Touch 75g</t>
  </si>
  <si>
    <t>Clear Shampoo Cool Sport Menthol 330ml</t>
  </si>
  <si>
    <t>Radhuni Korma Masala 30gm</t>
  </si>
  <si>
    <t>Kodomo Toothpaste Orange Cream - 40g</t>
  </si>
  <si>
    <t>Tastemaker - Tasting Salt</t>
  </si>
  <si>
    <t>Expert Shampoo Hair Color 5g</t>
  </si>
  <si>
    <t>Mojo 500ml</t>
  </si>
  <si>
    <t>Ata - loose</t>
  </si>
  <si>
    <t>Surf Excel 1000g</t>
  </si>
  <si>
    <t>Radhuni Borhani Masala 50gm</t>
  </si>
  <si>
    <t>Tresemme Shampoo Keratin Smooth 340ml</t>
  </si>
  <si>
    <t>Dairy Milk Bubbly 46gm</t>
  </si>
  <si>
    <t>Cake 1L</t>
  </si>
  <si>
    <t>Starship Milkshake Cookies 200ml</t>
  </si>
  <si>
    <t xml:space="preserve">AER Room Spray </t>
  </si>
  <si>
    <t>Real Potato Chips (American Tomato)</t>
  </si>
  <si>
    <t>Doodles Instant Noodles Masala 62g (12 Pack)</t>
  </si>
  <si>
    <t>Doodles Instant Noodles Masala 62g (8 Pack)</t>
  </si>
  <si>
    <t>Lifebouy Soap Lemon Fresh 150g</t>
  </si>
  <si>
    <t>Dairy Milk Oreo 58gm</t>
  </si>
  <si>
    <t>Freedom Sanitary Napkin Heavy Flow Wings - 16Pads</t>
  </si>
  <si>
    <t>AER Pocket Perfume</t>
  </si>
  <si>
    <t>Bellame Butter Toast 200g</t>
  </si>
  <si>
    <t>Chicken Sticks -1</t>
  </si>
  <si>
    <t>Lux Soap Velvet Touch 90g</t>
  </si>
  <si>
    <t>Lifebouy Liquid Lemon Fresh 170ml</t>
  </si>
  <si>
    <t>Vanilla (cup)</t>
  </si>
  <si>
    <t>Godrej Magic Handwash Refill</t>
  </si>
  <si>
    <t>Muffin Lata Vanilla 8g</t>
  </si>
  <si>
    <t>Vim Jumbo Size Steel Scourer - (2 Pkt Bundle)</t>
  </si>
  <si>
    <t>Volt Pencil Battery UM-3</t>
  </si>
  <si>
    <t>Lux Soap Soft Touch 90g</t>
  </si>
  <si>
    <t>Radhuni Morich Gura 50gm</t>
  </si>
  <si>
    <t>Muffin Bread Vanilla 324g</t>
  </si>
  <si>
    <t>Chocbar</t>
  </si>
  <si>
    <t>Kazi Toast 250g</t>
  </si>
  <si>
    <t>Muffin Lata Chocolate 8g</t>
  </si>
  <si>
    <t>Axe Musk Deodorant Body Spray - 150ml</t>
  </si>
  <si>
    <t>Patabahar Coil - 1Pac</t>
  </si>
  <si>
    <t>Dano Daily Pusti 500g</t>
  </si>
  <si>
    <t>Seylon Green Tea 1.5gm</t>
  </si>
  <si>
    <t>Muffin Bread Chocolate 324g</t>
  </si>
  <si>
    <t>Slice Pound Cake Vanilla</t>
  </si>
  <si>
    <t>Muffin Lata Fruit 8g</t>
  </si>
  <si>
    <t>Poppers Corn Coconut Crackers 25g</t>
  </si>
  <si>
    <t>Bashundhara Toilet Tissue (Gold)</t>
  </si>
  <si>
    <t xml:space="preserve">Fortune Mustard Oil 250ml </t>
  </si>
  <si>
    <t>Dark Desire 1kg</t>
  </si>
  <si>
    <t>Doodles Instant Noodles Ramen 62g (4 Pack)</t>
  </si>
  <si>
    <t>Pound Cake Vanilla</t>
  </si>
  <si>
    <t>Slice Pound Cake Milk</t>
  </si>
  <si>
    <t>Bashundhara Facial tissue box 100pcs</t>
  </si>
  <si>
    <t>Moida - loose</t>
  </si>
  <si>
    <t>Radhuni Jira Gura 50gm</t>
  </si>
  <si>
    <t>Golden 1kg</t>
  </si>
  <si>
    <t>Radhuni Holud Gura 200gm</t>
  </si>
  <si>
    <t>Pound Cake Chocolate</t>
  </si>
  <si>
    <t>Mini Dry Cake</t>
  </si>
  <si>
    <t>Bashundhara Hand Towel 250 Box</t>
  </si>
  <si>
    <t>Bashundhara Hand Towel White 150pcs</t>
  </si>
  <si>
    <t>Radhuni Gorur Masala 25gm</t>
  </si>
  <si>
    <t>Radhuni Fried Chicken Mix 75gm</t>
  </si>
  <si>
    <t>Radhuni Kabab Masala 50gm</t>
  </si>
  <si>
    <t xml:space="preserve">Nutrilife Can </t>
  </si>
  <si>
    <t>Tomato Ketchup Small</t>
  </si>
  <si>
    <t>Ponds Bright Beauty 50g</t>
  </si>
  <si>
    <t>Chupa Chups Best of Lollipops (6Pcs Bundle) - 72g</t>
  </si>
  <si>
    <t>Radhuni Gorom Masala Gura 15gm</t>
  </si>
  <si>
    <t>Mango Melody 1L</t>
  </si>
  <si>
    <t>Center Fresh Chewing Gum</t>
  </si>
  <si>
    <t>Dano Daily Pusti 50g</t>
  </si>
  <si>
    <t xml:space="preserve">Fortune Mustard Oil 80ml </t>
  </si>
  <si>
    <t>Nimki Small</t>
  </si>
  <si>
    <t>Radhuni Holud Gura 25gm</t>
  </si>
  <si>
    <t>Vanilla (1/2 L)</t>
  </si>
  <si>
    <t>Radhuni Hasher Mangsho 33gm</t>
  </si>
  <si>
    <t>Bellame Chocolate Fondue Cookie 176g</t>
  </si>
  <si>
    <t>Nutrilife Mango Juice 1L</t>
  </si>
  <si>
    <t>Bashundhara Toilet Tissue (White)</t>
  </si>
  <si>
    <t>Dry Cake (300g)</t>
  </si>
  <si>
    <t>Strawberry (1/2 L)</t>
  </si>
  <si>
    <t>Radhuni Holud Gura 100gm</t>
  </si>
  <si>
    <t>Nutrilife Orange Juice 1L</t>
  </si>
  <si>
    <t>ABC Cup Hot Gulai Chicken Flavour - 60g</t>
  </si>
  <si>
    <t>Radhuni Biriyani Masala 40gm</t>
  </si>
  <si>
    <t>Chocolate (1/2 L)</t>
  </si>
  <si>
    <t>Radhuni Macher Masala 20gm</t>
  </si>
  <si>
    <t>Transtec Backup 15w Pin</t>
  </si>
  <si>
    <t>Dairy Milk Crispello 19gm</t>
  </si>
  <si>
    <t>Go &amp; Handsome Skin Cream Men 25g</t>
  </si>
  <si>
    <t>Transtec Backup 15w Churi</t>
  </si>
  <si>
    <t>Dano Sterilized Cream - 160g</t>
  </si>
  <si>
    <t>Radhuni Tehari Masala 40gm</t>
  </si>
  <si>
    <t>Discone</t>
  </si>
  <si>
    <t>Avonee Pant Style Baby Diaper (9-14Kg) - L 48pcs</t>
  </si>
  <si>
    <t>Maxline ML-073 Multi Color Multiplug 3 Port with 3M Cable</t>
  </si>
  <si>
    <t>Doodles Stick Noodles Chicken Delight 300g</t>
  </si>
  <si>
    <t>Mentos</t>
  </si>
  <si>
    <t>Transtec LED Bright 18w Pin</t>
  </si>
  <si>
    <t>Mabroom Premium Dates - 500G</t>
  </si>
  <si>
    <t>Bellame Chocolate Digestive 135g</t>
  </si>
  <si>
    <t>Pound Cake Fruit</t>
  </si>
  <si>
    <t>Transtac LED Bright 18w Churi</t>
  </si>
  <si>
    <t>Nescafe Sunrise 3in1 10g</t>
  </si>
  <si>
    <t xml:space="preserve">⁠Dairy Milk Hazelnut 54gm </t>
  </si>
  <si>
    <t>Radhuni Shorisha Oil 80ml</t>
  </si>
  <si>
    <t>Transtec Mosquito Bat</t>
  </si>
  <si>
    <t>Twinings Pure Green Tea 25 Bags - 50g</t>
  </si>
  <si>
    <t>⁠Dairy Milk Roast Almond 52gm</t>
  </si>
  <si>
    <t>ACI Chinigura 50KG Loose</t>
  </si>
  <si>
    <t>Bashundhara Hand Towel 250 Poly</t>
  </si>
  <si>
    <t>Twinings Green Tea &amp; Ginger 20 Bags - 40g</t>
  </si>
  <si>
    <t>Kellogs Almond Corn Flakes 300g</t>
  </si>
  <si>
    <t>Vanilla 1L</t>
  </si>
  <si>
    <t>Firni 1L</t>
  </si>
  <si>
    <t>Twinings Green Tea Jasmine - 25 Bags</t>
  </si>
  <si>
    <t>Kellogs Corn Flakes Real Honey 300g</t>
  </si>
  <si>
    <t>Strawberry 1L</t>
  </si>
  <si>
    <t>Doi 1L</t>
  </si>
  <si>
    <t>Twinings Green Tea &amp; lemon - 25 Bags</t>
  </si>
  <si>
    <t>Garlic - roshun</t>
  </si>
  <si>
    <t>Chocolate 1L</t>
  </si>
  <si>
    <t>Basmati (Golden) Banglamoti Loose</t>
  </si>
  <si>
    <t>Twinings Green Tea Earl Grey 20 Bags - 40g</t>
  </si>
  <si>
    <t>Wheel Fabric Solutions Clean and Fresh 200g</t>
  </si>
  <si>
    <t>Safe Touch 0032 5Port 5m Cable Multiplug Heavy Duty White</t>
  </si>
  <si>
    <t>Transtec LED Bright 13w Churi</t>
  </si>
  <si>
    <t>Saf Instant Yeast - 100g</t>
  </si>
  <si>
    <t>Go &amp; Handsome Facewash Men 50g</t>
  </si>
  <si>
    <t>Samyang Hot Chicken Flavor Carbo Ramen Noodles Cup - 80g</t>
  </si>
  <si>
    <t>Nescafe Classic 90g Jar</t>
  </si>
  <si>
    <t>Rexona Men Advanced Invisible Dry Roll On - 45ml</t>
  </si>
  <si>
    <t>Marks Powder 500gm</t>
  </si>
  <si>
    <t>MI 9se 18W Quick Charger 3.0 With Power Adapter</t>
  </si>
  <si>
    <t>Aarong Liquid Milk 1ltr</t>
  </si>
  <si>
    <t>Paprika Powder - 15g</t>
  </si>
  <si>
    <t>Maggi Vegetable Soup 25g</t>
  </si>
  <si>
    <t>Awei Data Cable Micro USB (CL-115M)</t>
  </si>
  <si>
    <t>Ispahani blenders choice premium green tea - 35g</t>
  </si>
  <si>
    <t>Safe Touch 0032 5Port 2m Cable Multiplug Heavy Duty White</t>
  </si>
  <si>
    <t>Maggi Thai Soup 35g</t>
  </si>
  <si>
    <t>Dano Daily Pusti 100g</t>
  </si>
  <si>
    <t>Mars Fruit &amp; Nut Chocolate - 32g</t>
  </si>
  <si>
    <t>Maggi Corn Soup 25g</t>
  </si>
  <si>
    <t xml:space="preserve">Radhuni Chotpoti Masala 50gm </t>
  </si>
  <si>
    <t>Snickers Fruit &amp; Nut Chocolate - 32g</t>
  </si>
  <si>
    <t>Marks Powder 250gm</t>
  </si>
  <si>
    <t>Dairy Milk Fuse 21gm</t>
  </si>
  <si>
    <t>Katari Atob 25KG (Premium)</t>
  </si>
  <si>
    <t>Maltova Baking Powder 100g</t>
  </si>
  <si>
    <t>Foodie Masala Noodles 12 Pack</t>
  </si>
  <si>
    <t>Haiko Agar Agar - 20g</t>
  </si>
  <si>
    <t>Maggi Fun Pack 992g</t>
  </si>
  <si>
    <t>Kikkoman All Purpose Seasoning Soy Sauce - 1ltr</t>
  </si>
  <si>
    <t>Wheel Fabric Solutions Laundry Soap 125g</t>
  </si>
  <si>
    <t>Mohammad Baking Soda - 86g</t>
  </si>
  <si>
    <t>Dano Power 200g</t>
  </si>
  <si>
    <t>Rexona Motionsense Advanced Brightening Roll On - 50ml</t>
  </si>
  <si>
    <t>Diploma IFCMP 1kg</t>
  </si>
  <si>
    <t xml:space="preserve">Radhuni Dhoniya Gura 200gm </t>
  </si>
  <si>
    <t>Dano Sterilized Cream - 170g</t>
  </si>
  <si>
    <t>Cerelac Stage 1 Rice 350g</t>
  </si>
  <si>
    <t>Dano Delight 500g</t>
  </si>
  <si>
    <t>Mohammad Yeast</t>
  </si>
  <si>
    <t>Cerelac Stage I Wheat 350g</t>
  </si>
  <si>
    <t>Cadbury Cocoa Powder Packet - 125g</t>
  </si>
  <si>
    <t>Jirashail 25KG (Nobanno)</t>
  </si>
  <si>
    <t>Movilcell M15 Fast Charging Cable TypeC 5A Output</t>
  </si>
  <si>
    <t>Standard Horlicks Jar 250g</t>
  </si>
  <si>
    <t>Yardley London English Blossom Deodorant Roll On - 50ml</t>
  </si>
  <si>
    <t>Cerelac Stage III Four Fruit 350g</t>
  </si>
  <si>
    <t>Rayners Corn Flour - 400g</t>
  </si>
  <si>
    <t>Nan Opti Pro 2 350g</t>
  </si>
  <si>
    <t>Baby Oats Health Paradise</t>
  </si>
  <si>
    <t>Nan Opti Pro 3 350g</t>
  </si>
  <si>
    <t>Dove Conditioner Intensive Repair 50ml</t>
  </si>
  <si>
    <t>Standard Horlicks Jar 500g</t>
  </si>
  <si>
    <t>Diploma IFCMP 500g</t>
  </si>
  <si>
    <t>Jirashail (Nobanno) Loose</t>
  </si>
  <si>
    <t>Boost Standard Jar 400g</t>
  </si>
  <si>
    <t>Maltova 400g</t>
  </si>
  <si>
    <t>Junior Horlicks Stage II 500g</t>
  </si>
  <si>
    <t>Junior Horlicks Stage I 500g</t>
  </si>
  <si>
    <t>Mother Horlicks 350g</t>
  </si>
  <si>
    <t>Horlicks Pouch 400g</t>
  </si>
  <si>
    <t>Standard Horlicks Jar 1000g</t>
  </si>
  <si>
    <t xml:space="preserve">Dry Cake </t>
  </si>
  <si>
    <t>Nazirshail (Rahman) Loose</t>
  </si>
  <si>
    <t>Nido 1+ 350g</t>
  </si>
  <si>
    <t>Shukran Rice Atosh 50KG</t>
  </si>
  <si>
    <t>Kellogs Fruit Loops 285g</t>
  </si>
  <si>
    <t>Sugar</t>
  </si>
  <si>
    <t>Kellogs Chocos Fills Centred Pillow 250g</t>
  </si>
  <si>
    <t>Katari C 25KG (Nobanno)</t>
  </si>
  <si>
    <t xml:space="preserve">Nido Fortigo 350g </t>
  </si>
  <si>
    <t>Chona Boot</t>
  </si>
  <si>
    <t>Nazirshail 25KG (Rupchanda)</t>
  </si>
  <si>
    <t>Fortune Rice Bran Oil 2L</t>
  </si>
  <si>
    <t>Surf Excel 180g</t>
  </si>
  <si>
    <t>Diploma IFCMP 200g</t>
  </si>
  <si>
    <t>Katari C (Nobanno) Loose</t>
  </si>
  <si>
    <t>Miniket C (Nouka) Loose</t>
  </si>
  <si>
    <t xml:space="preserve">Lactogen 1350g </t>
  </si>
  <si>
    <t>Ispahani Mirzapore Tea Bag - 50p</t>
  </si>
  <si>
    <t>Foster Clarks Baking Powder - 225gm</t>
  </si>
  <si>
    <t>Knock Chocolate Cream</t>
  </si>
  <si>
    <t>Lactogen 2 350g</t>
  </si>
  <si>
    <t>Knock Milk Cream</t>
  </si>
  <si>
    <t>Lactogen 3 350g</t>
  </si>
  <si>
    <t>Knock Strawberry Cream</t>
  </si>
  <si>
    <t>Cerelac Stage IV Chicken 350g</t>
  </si>
  <si>
    <t>Dano Delight 200g</t>
  </si>
  <si>
    <t>Cerelace Stage 1 Three Fruits 350g</t>
  </si>
  <si>
    <t>Nescafe Classic 180g Jar</t>
  </si>
  <si>
    <t>Nescafe Classic 45g Jar</t>
  </si>
  <si>
    <t>Potatoes - alu</t>
  </si>
  <si>
    <t>Kellogs Chocos 250g</t>
  </si>
  <si>
    <t>Nimki Big</t>
  </si>
  <si>
    <t>Marks Powder 1000gm</t>
  </si>
  <si>
    <t>Bashundhara Pocket Tissue Wallet (Per Hanger)</t>
  </si>
  <si>
    <t>Dano Power 500g</t>
  </si>
  <si>
    <t>Coffee Bite Jar</t>
  </si>
  <si>
    <t>Radhuni Shorisha Oil 250ml</t>
  </si>
  <si>
    <t>Regard Keora Water (Glass) - 200ml</t>
  </si>
  <si>
    <t>Kellogs Muesli Crunchy Fruit &amp; Nut 500g</t>
  </si>
  <si>
    <t>Rangdhanu Mixed Herbs - 30g (Exp01.23)</t>
  </si>
  <si>
    <t>Miniket Atob 25KG (Shonko)</t>
  </si>
  <si>
    <t>Bellame Choco Little Cookies 240g</t>
  </si>
  <si>
    <t>Lifebouy Health Soap Lemon Fresh 150g</t>
  </si>
  <si>
    <t>Detos Nacho Cheese Chips 30g</t>
  </si>
  <si>
    <t>Lifebouy Health Soap Total 150g</t>
  </si>
  <si>
    <t>Go &amp; Handsome Skin Cream Men 50g</t>
  </si>
  <si>
    <t>Rin Power White 200g</t>
  </si>
  <si>
    <t>Motor Daal</t>
  </si>
  <si>
    <t>Fortune Mustard Oil 5L</t>
  </si>
  <si>
    <t>Safari</t>
  </si>
  <si>
    <t>Nutrilife Cranberry 1L</t>
  </si>
  <si>
    <t>Bashundhara Paper Napkin 100 sheets</t>
  </si>
  <si>
    <t>Aril Chewing Gum Box 75pcs</t>
  </si>
  <si>
    <t>Kitkat 3 Finger</t>
  </si>
  <si>
    <t>Ginger - ada</t>
  </si>
  <si>
    <t>Dairy Milk 40gm</t>
  </si>
  <si>
    <t>Rupchanda Soyabean Oil 1L</t>
  </si>
  <si>
    <t>Nido Family Choice 500g Pouch</t>
  </si>
  <si>
    <t>Kitkat 1 Finger</t>
  </si>
  <si>
    <t>Taaqa Juice</t>
  </si>
  <si>
    <t>Nutrilife Mango Juice 160ML</t>
  </si>
  <si>
    <t xml:space="preserve">Nutrilife Orange Juice 160ML </t>
  </si>
  <si>
    <t>Marks Powder 8gm</t>
  </si>
  <si>
    <t>⁠Aril Assorted Lollipop</t>
  </si>
  <si>
    <t>Pampers Sensitive Fragrance Free Baby Wipes - 52 Pieces</t>
  </si>
  <si>
    <t>Nescafe 3in1 14g sachet</t>
  </si>
  <si>
    <t>Maggi 496g (Masala Flavour)</t>
  </si>
  <si>
    <t>Lentils - Masur Daal</t>
  </si>
  <si>
    <t>Salt</t>
  </si>
  <si>
    <t>Vanilla 1kg</t>
  </si>
  <si>
    <t>Pond Oil Control 50g</t>
  </si>
  <si>
    <t>Go &amp; Handsome Facewash Men 100g</t>
  </si>
  <si>
    <t>Samyang Extreme Hot Chicken Ramen Noodles Cup - 70g</t>
  </si>
  <si>
    <t xml:space="preserve">Bashundhara Kitchen Towel </t>
  </si>
  <si>
    <t>Meridian Chicken Chips</t>
  </si>
  <si>
    <t>Transtec Backup 10w Pin</t>
  </si>
  <si>
    <t>Meridian Shrimp Chips</t>
  </si>
  <si>
    <t>Ponds White Beauty 100g</t>
  </si>
  <si>
    <t>Ponds Oil Control 100g</t>
  </si>
  <si>
    <t>Radhuni Murgi Mangsho 20gm</t>
  </si>
  <si>
    <t>Domex 500ml</t>
  </si>
  <si>
    <t>Eggs - Red (Loose)</t>
  </si>
  <si>
    <t>Maggi 4ps</t>
  </si>
  <si>
    <t>Maggi 8ps</t>
  </si>
  <si>
    <t>Magi 12ps</t>
  </si>
  <si>
    <t>Radhuni BBQ Masala 50gm</t>
  </si>
  <si>
    <t>Radhuni Chicken Tandoori 50gm</t>
  </si>
  <si>
    <t>Marks Powder 15gm</t>
  </si>
  <si>
    <t>AMA 3 in 1 Coffee Mix 14gm</t>
  </si>
  <si>
    <t>Seylon Cha Pata 250gm</t>
  </si>
  <si>
    <t>Lolly (lemon)</t>
  </si>
  <si>
    <t>Chocolate Cone</t>
  </si>
  <si>
    <t>Lolly (orange)</t>
  </si>
  <si>
    <t>Macho</t>
  </si>
  <si>
    <t>French Vanilla 1L</t>
  </si>
  <si>
    <t>Nescafe Creamy Latte 18g Sachet</t>
  </si>
  <si>
    <t>Nestea Ice Tea 18g</t>
  </si>
  <si>
    <t>Radhuni Panch Phoron 50gm</t>
  </si>
  <si>
    <t>Dove Cream Bar 90g</t>
  </si>
  <si>
    <t>Dove Cream Pink Bar 90g</t>
  </si>
  <si>
    <t>Crunchybar</t>
  </si>
  <si>
    <t>Ponds Daily 50g</t>
  </si>
  <si>
    <t>Radhuni Roast Masala 35gm</t>
  </si>
  <si>
    <t>Fortune Mustard Oil 1L</t>
  </si>
  <si>
    <t>Rupchanda Chinigura Rice 1KG</t>
  </si>
  <si>
    <t>Rin Powder Power Bright 1kg</t>
  </si>
  <si>
    <t>Radhuni Gorom Masala 40gm</t>
  </si>
  <si>
    <t>Firni (cup)</t>
  </si>
  <si>
    <t xml:space="preserve">Sneakers </t>
  </si>
  <si>
    <t>Lifebouy Liquid Care 170ml</t>
  </si>
  <si>
    <t>Nazirshail 25KG (Rahman)</t>
  </si>
  <si>
    <t>Dairy Milk 10RS</t>
  </si>
  <si>
    <t>AMA Classic Coffee 1gm</t>
  </si>
  <si>
    <t xml:space="preserve">Nido 3+ 350g BiB </t>
  </si>
  <si>
    <t>Cerelac Stage V Multifruit 350g</t>
  </si>
  <si>
    <t>Cerelac Stage II Apply Cherry 350g</t>
  </si>
  <si>
    <t>Cerelac Stage II Chicken Scoop 350g</t>
  </si>
  <si>
    <t>Katari Atob 25KG (Rahman)</t>
  </si>
  <si>
    <t>Rupchanda Soyabean Oil 2L</t>
  </si>
  <si>
    <t>Rupchanda Soyabean Oil 5L</t>
  </si>
  <si>
    <t>Fortune Rice Bran Oil 5L</t>
  </si>
  <si>
    <t>Katari Atob (Rahman) Loose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</si>
</sst>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4ECF9"/>
        <bgColor rgb="FFE4ECF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quotePrefix="1" borderId="0" fillId="3" fontId="5" numFmtId="0" xfId="0" applyAlignment="1" applyFill="1" applyFont="1">
      <alignment horizontal="left" shrinkToFit="0" vertical="top" wrapText="1"/>
    </xf>
    <xf borderId="0" fillId="3" fontId="5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7" numFmtId="164" xfId="0" applyAlignment="1" applyFont="1" applyNumberFormat="1">
      <alignment vertical="bottom"/>
    </xf>
    <xf borderId="0" fillId="0" fontId="6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yourstore.com/images/radhuni-vinegar.jpg" TargetMode="External"/><Relationship Id="rId2" Type="http://schemas.openxmlformats.org/officeDocument/2006/relationships/hyperlink" Target="http://www.yourstore.com/images/sunsilk-thick.jp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4" width="25.13"/>
    <col customWidth="1" min="5" max="6" width="25.13" outlineLevel="1"/>
    <col customWidth="1" min="7" max="7" width="23.63"/>
    <col customWidth="1" min="8" max="8" width="25.13" outlineLevel="1"/>
    <col customWidth="1" min="9" max="9" width="24.88"/>
    <col customWidth="1" min="10" max="10" width="25.13"/>
    <col customWidth="1" min="11" max="12" width="25.13" outlineLevel="1"/>
    <col customWidth="1" min="13" max="22" width="25.13"/>
    <col collapsed="1" customWidth="1" min="23" max="23" width="25.13"/>
    <col customWidth="1" hidden="1" min="24" max="25" width="25.13" outlineLevel="1"/>
    <col customWidth="1" min="26" max="38" width="25.13"/>
  </cols>
  <sheetData>
    <row r="1">
      <c r="A1" s="1" t="str">
        <f>HYPERLINK("https://support.google.com/merchants/answer/6324405", "id")</f>
        <v>id</v>
      </c>
      <c r="B1" s="1" t="str">
        <f>HYPERLINK("https://support.google.com/merchants/answer/6324415", "title")</f>
        <v>title</v>
      </c>
      <c r="C1" s="1" t="str">
        <f>HYPERLINK("https://support.google.com/merchants/answer/6324468", "description")</f>
        <v>description</v>
      </c>
      <c r="D1" s="1" t="str">
        <f>HYPERLINK("https://support.google.com/merchants/answer/6324448", "availability")</f>
        <v>availability</v>
      </c>
      <c r="E1" s="1" t="str">
        <f>HYPERLINK("https://support.google.com/merchants/answer/6324470", "availability date")</f>
        <v>availability date</v>
      </c>
      <c r="F1" s="1" t="str">
        <f>HYPERLINK("https://support.google.com/merchants/answer/6324499", "expiration date")</f>
        <v>expiration date</v>
      </c>
      <c r="G1" s="1" t="str">
        <f>HYPERLINK("https://support.google.com/merchants/answer/6324416", "link")</f>
        <v>link</v>
      </c>
      <c r="H1" s="1" t="str">
        <f>HYPERLINK("https://support.google.com/merchants/answer/6324459", "mobile link")</f>
        <v>mobile link</v>
      </c>
      <c r="I1" s="1" t="str">
        <f>HYPERLINK("https://support.google.com/merchants/answer/6324350", "image link")</f>
        <v>image link</v>
      </c>
      <c r="J1" s="1" t="str">
        <f>HYPERLINK("https://support.google.com/merchants/answer/6324371", "price")</f>
        <v>price</v>
      </c>
      <c r="K1" s="1" t="str">
        <f>HYPERLINK("https://support.google.com/merchants/answer/6324471", "sale price")</f>
        <v>sale price</v>
      </c>
      <c r="L1" s="1" t="str">
        <f>HYPERLINK("https://support.google.com/merchants/answer/6324460?hl=en&amp;ref_topic=6324338", "sale price effective date")</f>
        <v>sale price effective date</v>
      </c>
      <c r="M1" s="1" t="str">
        <f>HYPERLINK("https://support.google.com/merchants/answer/6324478", "identifier exists")</f>
        <v>identifier exists</v>
      </c>
      <c r="N1" s="1" t="str">
        <f>HYPERLINK("https://support.google.com/merchants/answer/6324461", "gtin")</f>
        <v>gtin</v>
      </c>
      <c r="O1" s="1" t="str">
        <f>HYPERLINK("https://support.google.com/merchants/answer/6324482", "mpn")</f>
        <v>mpn</v>
      </c>
      <c r="P1" s="2" t="s">
        <v>0</v>
      </c>
      <c r="Q1" s="1" t="str">
        <f>HYPERLINK("https://support.google.com/merchants/answer/9216100", "product highlight")</f>
        <v>product highlight</v>
      </c>
      <c r="R1" s="1" t="str">
        <f>HYPERLINK("https://support.google.com/merchants/answer/9218260", "product detail")</f>
        <v>product detail</v>
      </c>
      <c r="S1" s="1" t="str">
        <f>HYPERLINK("https://support.google.com/merchants/answer/6324370", "additional image link")</f>
        <v>additional image link</v>
      </c>
      <c r="T1" s="1" t="str">
        <f>HYPERLINK("https://support.google.com/merchants/answer/6324469", "condition")</f>
        <v>condition</v>
      </c>
      <c r="U1" s="1" t="str">
        <f>HYPERLINK("https://support.google.com/merchants/answer/6324508", "adult")</f>
        <v>adult</v>
      </c>
      <c r="V1" s="1" t="str">
        <f>HYPERLINK("https://support.google.com/merchants/answer/6324487", "color")</f>
        <v>color</v>
      </c>
      <c r="W1" s="1" t="str">
        <f>HYPERLINK("https://support.google.com/merchants/answer/6324492", "size")</f>
        <v>size</v>
      </c>
      <c r="X1" s="1" t="str">
        <f>HYPERLINK("https://support.google.com/merchants/answer/63244972", "size type")</f>
        <v>size type</v>
      </c>
      <c r="Y1" s="1" t="str">
        <f>HYPERLINK("https://support.google.com/merchants/answer/6324502", "size system")</f>
        <v>size system</v>
      </c>
      <c r="Z1" s="1" t="str">
        <f>HYPERLINK("https://support.google.com/merchants/answer/6324479", "gender")</f>
        <v>gender</v>
      </c>
      <c r="AA1" s="1" t="str">
        <f>HYPERLINK("https://support.google.com/merchants/answer/6324410", "material")</f>
        <v>material</v>
      </c>
      <c r="AB1" s="1" t="str">
        <f>HYPERLINK("https://support.google.com/merchants/answer/6324483", "pattern")</f>
        <v>pattern</v>
      </c>
      <c r="AC1" s="1" t="str">
        <f>HYPERLINK("https://support.google.com/merchants/answer/6324463", "age group")</f>
        <v>age group</v>
      </c>
      <c r="AD1" s="1" t="str">
        <f>HYPERLINK("https://support.google.com/merchants/answer/6324488", "multipack")</f>
        <v>multipack</v>
      </c>
      <c r="AE1" s="1" t="str">
        <f>HYPERLINK("https://support.google.com/merchants/answer/6324449", "is bundle")</f>
        <v>is bundle</v>
      </c>
      <c r="AF1" s="1" t="str">
        <f>HYPERLINK("https://support.google.com/merchants/answer/6324455", "unit pricing measure")</f>
        <v>unit pricing measure</v>
      </c>
      <c r="AG1" s="1" t="str">
        <f>HYPERLINK("https://support.google.com/merchants/answer/6324490", "unit pricing base measure")</f>
        <v>unit pricing base measure</v>
      </c>
      <c r="AH1" s="1" t="str">
        <f>HYPERLINK("https://support.google.com/merchants/answer/7562785", "energy efficiency class")</f>
        <v>energy efficiency class</v>
      </c>
      <c r="AI1" s="1" t="str">
        <f t="shared" ref="AI1:AJ1" si="1">HYPERLINK("https://support.google.com/merchants/answer/7562785", "min energy efficiency class")</f>
        <v>min energy efficiency class</v>
      </c>
      <c r="AJ1" s="1" t="str">
        <f t="shared" si="1"/>
        <v>min energy efficiency class</v>
      </c>
      <c r="AK1" s="1" t="str">
        <f>HYPERLINK("https://support.google.com/merchants/answer/6324507", "item group id")</f>
        <v>item group id</v>
      </c>
      <c r="AL1" s="1" t="str">
        <f>HYPERLINK("https://support.google.com/merchants/answer/9451716", "sell on google quantity")</f>
        <v>sell on google quantity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  <c r="G2" s="3" t="s">
        <v>5</v>
      </c>
      <c r="H2" s="3" t="s">
        <v>6</v>
      </c>
      <c r="I2" s="3"/>
      <c r="J2" s="5">
        <v>90.0</v>
      </c>
      <c r="K2" s="5">
        <v>85.0</v>
      </c>
      <c r="L2" s="3"/>
      <c r="M2" s="3"/>
      <c r="N2" s="6" t="s">
        <v>7</v>
      </c>
      <c r="O2" s="7" t="s">
        <v>8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5</v>
      </c>
      <c r="U2" s="7" t="s">
        <v>12</v>
      </c>
      <c r="V2" s="7" t="s">
        <v>13</v>
      </c>
      <c r="W2" s="7" t="s">
        <v>14</v>
      </c>
      <c r="X2" s="7" t="s">
        <v>15</v>
      </c>
      <c r="Y2" s="7" t="s">
        <v>15</v>
      </c>
      <c r="Z2" s="7" t="s">
        <v>15</v>
      </c>
      <c r="AA2" s="7" t="s">
        <v>15</v>
      </c>
      <c r="AB2" s="7" t="s">
        <v>15</v>
      </c>
      <c r="AC2" s="7" t="s">
        <v>15</v>
      </c>
      <c r="AD2" s="6" t="s">
        <v>16</v>
      </c>
      <c r="AE2" s="7" t="s">
        <v>15</v>
      </c>
      <c r="AF2" s="7" t="s">
        <v>17</v>
      </c>
      <c r="AG2" s="7" t="s">
        <v>18</v>
      </c>
      <c r="AH2" s="7" t="s">
        <v>15</v>
      </c>
      <c r="AI2" s="7" t="s">
        <v>15</v>
      </c>
      <c r="AJ2" s="7" t="s">
        <v>15</v>
      </c>
      <c r="AK2" s="7" t="s">
        <v>15</v>
      </c>
      <c r="AL2" s="7" t="s">
        <v>15</v>
      </c>
    </row>
    <row r="3">
      <c r="A3" s="3" t="s">
        <v>19</v>
      </c>
      <c r="B3" s="3" t="s">
        <v>20</v>
      </c>
      <c r="C3" s="3" t="s">
        <v>21</v>
      </c>
      <c r="D3" s="3" t="s">
        <v>4</v>
      </c>
      <c r="E3" s="4"/>
      <c r="F3" s="4"/>
      <c r="G3" s="3" t="s">
        <v>5</v>
      </c>
      <c r="H3" s="3" t="s">
        <v>12</v>
      </c>
      <c r="I3" s="3"/>
      <c r="J3" s="5">
        <v>195.0</v>
      </c>
      <c r="K3" s="5">
        <v>195.0</v>
      </c>
      <c r="L3" s="3"/>
      <c r="M3" s="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3" t="s">
        <v>22</v>
      </c>
      <c r="B4" s="3" t="s">
        <v>23</v>
      </c>
      <c r="C4" s="3" t="s">
        <v>24</v>
      </c>
      <c r="D4" s="3" t="s">
        <v>4</v>
      </c>
      <c r="E4" s="4"/>
      <c r="F4" s="4"/>
      <c r="G4" s="3" t="s">
        <v>5</v>
      </c>
      <c r="H4" s="3" t="s">
        <v>6</v>
      </c>
      <c r="I4" s="3"/>
      <c r="J4" s="5">
        <v>90.0</v>
      </c>
      <c r="K4" s="5">
        <v>90.0</v>
      </c>
      <c r="L4" s="3"/>
      <c r="M4" s="3"/>
      <c r="N4" s="8" t="s">
        <v>15</v>
      </c>
      <c r="O4" s="8" t="s">
        <v>15</v>
      </c>
      <c r="P4" s="8" t="s">
        <v>15</v>
      </c>
      <c r="Q4" s="8" t="s">
        <v>15</v>
      </c>
      <c r="R4" s="8" t="s">
        <v>15</v>
      </c>
      <c r="S4" s="8" t="s">
        <v>15</v>
      </c>
      <c r="T4" s="8" t="s">
        <v>15</v>
      </c>
      <c r="U4" s="8" t="s">
        <v>15</v>
      </c>
      <c r="V4" s="8" t="s">
        <v>15</v>
      </c>
      <c r="W4" s="8" t="s">
        <v>15</v>
      </c>
      <c r="X4" s="8" t="s">
        <v>15</v>
      </c>
      <c r="Y4" s="8" t="s">
        <v>15</v>
      </c>
      <c r="Z4" s="8" t="s">
        <v>15</v>
      </c>
      <c r="AA4" s="8" t="s">
        <v>15</v>
      </c>
      <c r="AB4" s="8" t="s">
        <v>15</v>
      </c>
      <c r="AC4" s="8" t="s">
        <v>15</v>
      </c>
      <c r="AD4" s="8" t="s">
        <v>15</v>
      </c>
      <c r="AE4" s="8" t="s">
        <v>15</v>
      </c>
      <c r="AF4" s="8" t="s">
        <v>15</v>
      </c>
      <c r="AG4" s="8" t="s">
        <v>15</v>
      </c>
      <c r="AH4" s="8" t="s">
        <v>15</v>
      </c>
      <c r="AI4" s="8" t="s">
        <v>15</v>
      </c>
      <c r="AJ4" s="8" t="s">
        <v>15</v>
      </c>
      <c r="AK4" s="8" t="s">
        <v>15</v>
      </c>
      <c r="AL4" s="8" t="s">
        <v>15</v>
      </c>
    </row>
    <row r="5">
      <c r="A5" s="3" t="s">
        <v>25</v>
      </c>
      <c r="B5" s="3" t="s">
        <v>26</v>
      </c>
      <c r="C5" s="3" t="s">
        <v>27</v>
      </c>
      <c r="D5" s="3" t="s">
        <v>4</v>
      </c>
      <c r="E5" s="4"/>
      <c r="F5" s="4"/>
      <c r="G5" s="3" t="s">
        <v>5</v>
      </c>
      <c r="H5" s="3" t="s">
        <v>6</v>
      </c>
      <c r="I5" s="3"/>
      <c r="J5" s="5">
        <v>160.0</v>
      </c>
      <c r="K5" s="5">
        <v>155.0</v>
      </c>
      <c r="L5" s="3"/>
      <c r="M5" s="3"/>
      <c r="N5" s="8" t="s">
        <v>15</v>
      </c>
      <c r="O5" s="8" t="s">
        <v>15</v>
      </c>
      <c r="P5" s="8" t="s">
        <v>15</v>
      </c>
      <c r="Q5" s="8" t="s">
        <v>15</v>
      </c>
      <c r="R5" s="8" t="s">
        <v>15</v>
      </c>
      <c r="S5" s="8" t="s">
        <v>15</v>
      </c>
      <c r="T5" s="8" t="s">
        <v>15</v>
      </c>
      <c r="U5" s="8" t="s">
        <v>15</v>
      </c>
      <c r="V5" s="8" t="s">
        <v>15</v>
      </c>
      <c r="W5" s="8" t="s">
        <v>15</v>
      </c>
      <c r="X5" s="8" t="s">
        <v>15</v>
      </c>
      <c r="Y5" s="8" t="s">
        <v>15</v>
      </c>
      <c r="Z5" s="8" t="s">
        <v>15</v>
      </c>
      <c r="AA5" s="8" t="s">
        <v>15</v>
      </c>
      <c r="AB5" s="8" t="s">
        <v>15</v>
      </c>
      <c r="AC5" s="8" t="s">
        <v>15</v>
      </c>
      <c r="AD5" s="8" t="s">
        <v>15</v>
      </c>
      <c r="AE5" s="8" t="s">
        <v>15</v>
      </c>
      <c r="AF5" s="8" t="s">
        <v>15</v>
      </c>
      <c r="AG5" s="8" t="s">
        <v>15</v>
      </c>
      <c r="AH5" s="8" t="s">
        <v>15</v>
      </c>
      <c r="AI5" s="8" t="s">
        <v>15</v>
      </c>
      <c r="AJ5" s="8" t="s">
        <v>15</v>
      </c>
      <c r="AK5" s="8" t="s">
        <v>15</v>
      </c>
      <c r="AL5" s="8" t="s">
        <v>15</v>
      </c>
    </row>
    <row r="6">
      <c r="A6" s="3" t="s">
        <v>28</v>
      </c>
      <c r="B6" s="3" t="s">
        <v>29</v>
      </c>
      <c r="C6" s="3" t="s">
        <v>30</v>
      </c>
      <c r="D6" s="3" t="s">
        <v>4</v>
      </c>
      <c r="E6" s="4"/>
      <c r="F6" s="4"/>
      <c r="G6" s="3" t="s">
        <v>5</v>
      </c>
      <c r="H6" s="3" t="s">
        <v>12</v>
      </c>
      <c r="I6" s="3"/>
      <c r="J6" s="5">
        <v>150.0</v>
      </c>
      <c r="K6" s="5">
        <v>150.0</v>
      </c>
      <c r="L6" s="3"/>
      <c r="M6" s="3"/>
      <c r="N6" s="8" t="s">
        <v>15</v>
      </c>
      <c r="O6" s="8" t="s">
        <v>15</v>
      </c>
      <c r="P6" s="8" t="s">
        <v>15</v>
      </c>
      <c r="Q6" s="8" t="s">
        <v>15</v>
      </c>
      <c r="R6" s="8" t="s">
        <v>15</v>
      </c>
      <c r="S6" s="8" t="s">
        <v>15</v>
      </c>
      <c r="T6" s="8" t="s">
        <v>15</v>
      </c>
      <c r="U6" s="8" t="s">
        <v>15</v>
      </c>
      <c r="V6" s="8" t="s">
        <v>15</v>
      </c>
      <c r="W6" s="8" t="s">
        <v>15</v>
      </c>
      <c r="X6" s="8" t="s">
        <v>15</v>
      </c>
      <c r="Y6" s="8" t="s">
        <v>15</v>
      </c>
      <c r="Z6" s="8" t="s">
        <v>15</v>
      </c>
      <c r="AA6" s="8" t="s">
        <v>15</v>
      </c>
      <c r="AB6" s="8" t="s">
        <v>15</v>
      </c>
      <c r="AC6" s="8" t="s">
        <v>15</v>
      </c>
      <c r="AD6" s="8" t="s">
        <v>15</v>
      </c>
      <c r="AE6" s="8" t="s">
        <v>15</v>
      </c>
      <c r="AF6" s="8" t="s">
        <v>15</v>
      </c>
      <c r="AG6" s="8" t="s">
        <v>15</v>
      </c>
      <c r="AH6" s="8" t="s">
        <v>15</v>
      </c>
      <c r="AI6" s="8" t="s">
        <v>15</v>
      </c>
      <c r="AJ6" s="8" t="s">
        <v>15</v>
      </c>
      <c r="AK6" s="8" t="s">
        <v>15</v>
      </c>
      <c r="AL6" s="8" t="s">
        <v>15</v>
      </c>
    </row>
    <row r="7">
      <c r="A7" s="3" t="s">
        <v>31</v>
      </c>
      <c r="B7" s="3" t="s">
        <v>32</v>
      </c>
      <c r="C7" s="3" t="s">
        <v>33</v>
      </c>
      <c r="D7" s="3" t="s">
        <v>4</v>
      </c>
      <c r="E7" s="4"/>
      <c r="F7" s="4"/>
      <c r="G7" s="3" t="s">
        <v>5</v>
      </c>
      <c r="H7" s="3" t="s">
        <v>6</v>
      </c>
      <c r="I7" s="3"/>
      <c r="J7" s="5">
        <v>95.0</v>
      </c>
      <c r="K7" s="5">
        <v>90.0</v>
      </c>
      <c r="L7" s="3"/>
      <c r="M7" s="3"/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8" t="s">
        <v>15</v>
      </c>
      <c r="AD7" s="8" t="s">
        <v>15</v>
      </c>
      <c r="AE7" s="8" t="s">
        <v>15</v>
      </c>
      <c r="AF7" s="8" t="s">
        <v>15</v>
      </c>
      <c r="AG7" s="8" t="s">
        <v>15</v>
      </c>
      <c r="AH7" s="8" t="s">
        <v>15</v>
      </c>
      <c r="AI7" s="8" t="s">
        <v>15</v>
      </c>
      <c r="AJ7" s="8" t="s">
        <v>15</v>
      </c>
      <c r="AK7" s="8" t="s">
        <v>15</v>
      </c>
      <c r="AL7" s="8" t="s">
        <v>15</v>
      </c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3"/>
      <c r="F8" s="3"/>
      <c r="G8" s="3" t="s">
        <v>12</v>
      </c>
      <c r="H8" s="4" t="s">
        <v>38</v>
      </c>
      <c r="J8" s="9">
        <v>45.0</v>
      </c>
      <c r="K8" s="9">
        <v>45.0</v>
      </c>
      <c r="L8" s="3" t="s">
        <v>5</v>
      </c>
      <c r="M8" s="3" t="s">
        <v>39</v>
      </c>
      <c r="N8" s="8" t="s">
        <v>15</v>
      </c>
      <c r="O8" s="8" t="s">
        <v>15</v>
      </c>
      <c r="P8" s="8" t="s">
        <v>15</v>
      </c>
      <c r="Q8" s="8" t="s">
        <v>15</v>
      </c>
      <c r="R8" s="8" t="s">
        <v>15</v>
      </c>
      <c r="S8" s="8" t="s">
        <v>15</v>
      </c>
      <c r="T8" s="8" t="s">
        <v>15</v>
      </c>
      <c r="U8" s="8" t="s">
        <v>15</v>
      </c>
      <c r="V8" s="8" t="s">
        <v>15</v>
      </c>
      <c r="W8" s="8" t="s">
        <v>15</v>
      </c>
      <c r="X8" s="8" t="s">
        <v>15</v>
      </c>
      <c r="Y8" s="8" t="s">
        <v>15</v>
      </c>
      <c r="Z8" s="8" t="s">
        <v>15</v>
      </c>
      <c r="AA8" s="8" t="s">
        <v>15</v>
      </c>
      <c r="AB8" s="8" t="s">
        <v>15</v>
      </c>
      <c r="AC8" s="8" t="s">
        <v>15</v>
      </c>
      <c r="AD8" s="8" t="s">
        <v>15</v>
      </c>
      <c r="AE8" s="8" t="s">
        <v>15</v>
      </c>
      <c r="AF8" s="8" t="s">
        <v>15</v>
      </c>
      <c r="AG8" s="8" t="s">
        <v>15</v>
      </c>
      <c r="AH8" s="8" t="s">
        <v>15</v>
      </c>
      <c r="AI8" s="8" t="s">
        <v>15</v>
      </c>
      <c r="AJ8" s="8" t="s">
        <v>15</v>
      </c>
      <c r="AK8" s="8" t="s">
        <v>15</v>
      </c>
      <c r="AL8" s="8" t="s">
        <v>15</v>
      </c>
    </row>
    <row r="9">
      <c r="A9" s="3" t="s">
        <v>40</v>
      </c>
      <c r="B9" s="3" t="s">
        <v>41</v>
      </c>
      <c r="C9" s="3" t="s">
        <v>42</v>
      </c>
      <c r="D9" s="3" t="s">
        <v>4</v>
      </c>
      <c r="E9" s="4"/>
      <c r="F9" s="4"/>
      <c r="G9" s="3" t="s">
        <v>5</v>
      </c>
      <c r="H9" s="3" t="s">
        <v>6</v>
      </c>
      <c r="I9" s="3"/>
      <c r="J9" s="5">
        <v>170.0</v>
      </c>
      <c r="K9" s="5">
        <v>165.0</v>
      </c>
      <c r="L9" s="3"/>
      <c r="M9" s="3"/>
      <c r="N9" s="8" t="s">
        <v>15</v>
      </c>
      <c r="O9" s="8" t="s">
        <v>15</v>
      </c>
      <c r="P9" s="8" t="s">
        <v>15</v>
      </c>
      <c r="Q9" s="8" t="s">
        <v>15</v>
      </c>
      <c r="R9" s="8" t="s">
        <v>15</v>
      </c>
      <c r="S9" s="8" t="s">
        <v>15</v>
      </c>
      <c r="T9" s="8" t="s">
        <v>15</v>
      </c>
      <c r="U9" s="8" t="s">
        <v>15</v>
      </c>
      <c r="V9" s="8" t="s">
        <v>15</v>
      </c>
      <c r="W9" s="8" t="s">
        <v>15</v>
      </c>
      <c r="X9" s="8" t="s">
        <v>15</v>
      </c>
      <c r="Y9" s="8" t="s">
        <v>15</v>
      </c>
      <c r="Z9" s="8" t="s">
        <v>15</v>
      </c>
      <c r="AA9" s="8" t="s">
        <v>15</v>
      </c>
      <c r="AB9" s="8" t="s">
        <v>15</v>
      </c>
      <c r="AC9" s="8" t="s">
        <v>15</v>
      </c>
      <c r="AD9" s="8" t="s">
        <v>15</v>
      </c>
      <c r="AE9" s="8" t="s">
        <v>15</v>
      </c>
      <c r="AF9" s="8" t="s">
        <v>15</v>
      </c>
      <c r="AG9" s="8" t="s">
        <v>15</v>
      </c>
      <c r="AH9" s="8" t="s">
        <v>15</v>
      </c>
      <c r="AI9" s="8" t="s">
        <v>15</v>
      </c>
      <c r="AJ9" s="8" t="s">
        <v>15</v>
      </c>
      <c r="AK9" s="8" t="s">
        <v>15</v>
      </c>
      <c r="AL9" s="8" t="s">
        <v>15</v>
      </c>
    </row>
    <row r="10">
      <c r="A10" s="3" t="s">
        <v>43</v>
      </c>
      <c r="B10" s="3" t="s">
        <v>44</v>
      </c>
      <c r="C10" s="3" t="s">
        <v>45</v>
      </c>
      <c r="D10" s="3" t="s">
        <v>4</v>
      </c>
      <c r="E10" s="4"/>
      <c r="F10" s="4"/>
      <c r="G10" s="3" t="s">
        <v>5</v>
      </c>
      <c r="H10" s="3" t="s">
        <v>6</v>
      </c>
      <c r="I10" s="3"/>
      <c r="J10" s="5"/>
      <c r="K10" s="10">
        <v>15.0</v>
      </c>
      <c r="L10" s="3"/>
      <c r="M10" s="3"/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  <c r="T10" s="8" t="s">
        <v>15</v>
      </c>
      <c r="U10" s="8" t="s">
        <v>15</v>
      </c>
      <c r="V10" s="8" t="s">
        <v>15</v>
      </c>
      <c r="W10" s="8" t="s">
        <v>15</v>
      </c>
      <c r="X10" s="8" t="s">
        <v>15</v>
      </c>
      <c r="Y10" s="8" t="s">
        <v>15</v>
      </c>
      <c r="Z10" s="8" t="s">
        <v>15</v>
      </c>
      <c r="AA10" s="8" t="s">
        <v>15</v>
      </c>
      <c r="AB10" s="8" t="s">
        <v>15</v>
      </c>
      <c r="AC10" s="8" t="s">
        <v>15</v>
      </c>
      <c r="AD10" s="8" t="s">
        <v>15</v>
      </c>
      <c r="AE10" s="8" t="s">
        <v>15</v>
      </c>
      <c r="AF10" s="8" t="s">
        <v>15</v>
      </c>
      <c r="AG10" s="8" t="s">
        <v>15</v>
      </c>
      <c r="AH10" s="8" t="s">
        <v>15</v>
      </c>
      <c r="AI10" s="8" t="s">
        <v>15</v>
      </c>
      <c r="AJ10" s="8" t="s">
        <v>15</v>
      </c>
      <c r="AK10" s="8" t="s">
        <v>15</v>
      </c>
      <c r="AL10" s="8" t="s">
        <v>15</v>
      </c>
    </row>
    <row r="11">
      <c r="A11" s="3" t="s">
        <v>46</v>
      </c>
      <c r="B11" s="3" t="s">
        <v>47</v>
      </c>
      <c r="C11" s="3" t="s">
        <v>48</v>
      </c>
      <c r="D11" s="3" t="s">
        <v>4</v>
      </c>
      <c r="E11" s="4"/>
      <c r="F11" s="4"/>
      <c r="G11" s="3" t="s">
        <v>5</v>
      </c>
      <c r="H11" s="3" t="s">
        <v>6</v>
      </c>
      <c r="I11" s="3"/>
      <c r="J11" s="5">
        <v>50.0</v>
      </c>
      <c r="K11" s="5">
        <f>I11-(I11*5%)</f>
        <v>0</v>
      </c>
      <c r="L11" s="3"/>
      <c r="M11" s="3"/>
      <c r="N11" s="8" t="s">
        <v>15</v>
      </c>
      <c r="O11" s="8" t="s">
        <v>15</v>
      </c>
      <c r="P11" s="8" t="s">
        <v>15</v>
      </c>
      <c r="Q11" s="8" t="s">
        <v>15</v>
      </c>
      <c r="R11" s="8" t="s">
        <v>15</v>
      </c>
      <c r="S11" s="8" t="s">
        <v>15</v>
      </c>
      <c r="T11" s="8" t="s">
        <v>15</v>
      </c>
      <c r="U11" s="8" t="s">
        <v>15</v>
      </c>
      <c r="V11" s="8" t="s">
        <v>15</v>
      </c>
      <c r="W11" s="8" t="s">
        <v>15</v>
      </c>
      <c r="X11" s="8" t="s">
        <v>15</v>
      </c>
      <c r="Y11" s="8" t="s">
        <v>15</v>
      </c>
      <c r="Z11" s="8" t="s">
        <v>15</v>
      </c>
      <c r="AA11" s="8" t="s">
        <v>15</v>
      </c>
      <c r="AB11" s="8" t="s">
        <v>15</v>
      </c>
      <c r="AC11" s="8" t="s">
        <v>15</v>
      </c>
      <c r="AD11" s="8" t="s">
        <v>15</v>
      </c>
      <c r="AE11" s="8" t="s">
        <v>15</v>
      </c>
      <c r="AF11" s="8" t="s">
        <v>15</v>
      </c>
      <c r="AG11" s="8" t="s">
        <v>15</v>
      </c>
      <c r="AH11" s="8" t="s">
        <v>15</v>
      </c>
      <c r="AI11" s="8" t="s">
        <v>15</v>
      </c>
      <c r="AJ11" s="8" t="s">
        <v>15</v>
      </c>
      <c r="AK11" s="8" t="s">
        <v>15</v>
      </c>
      <c r="AL11" s="8" t="s">
        <v>15</v>
      </c>
    </row>
    <row r="12">
      <c r="A12" s="3" t="s">
        <v>49</v>
      </c>
      <c r="B12" s="3" t="s">
        <v>50</v>
      </c>
      <c r="C12" s="3" t="s">
        <v>51</v>
      </c>
      <c r="D12" s="3" t="s">
        <v>4</v>
      </c>
      <c r="E12" s="4"/>
      <c r="F12" s="4"/>
      <c r="G12" s="3" t="s">
        <v>5</v>
      </c>
      <c r="H12" s="3" t="s">
        <v>6</v>
      </c>
      <c r="I12" s="3"/>
      <c r="J12" s="5"/>
      <c r="K12" s="5">
        <v>450.0</v>
      </c>
      <c r="L12" s="3"/>
      <c r="M12" s="3"/>
      <c r="N12" s="8" t="s">
        <v>15</v>
      </c>
      <c r="O12" s="8" t="s">
        <v>15</v>
      </c>
      <c r="P12" s="8" t="s">
        <v>15</v>
      </c>
      <c r="Q12" s="8" t="s">
        <v>15</v>
      </c>
      <c r="R12" s="8" t="s">
        <v>15</v>
      </c>
      <c r="S12" s="8" t="s">
        <v>15</v>
      </c>
      <c r="T12" s="8" t="s">
        <v>15</v>
      </c>
      <c r="U12" s="8" t="s">
        <v>15</v>
      </c>
      <c r="V12" s="8" t="s">
        <v>15</v>
      </c>
      <c r="W12" s="8" t="s">
        <v>15</v>
      </c>
      <c r="X12" s="8" t="s">
        <v>15</v>
      </c>
      <c r="Y12" s="8" t="s">
        <v>15</v>
      </c>
      <c r="Z12" s="8" t="s">
        <v>15</v>
      </c>
      <c r="AA12" s="8" t="s">
        <v>15</v>
      </c>
      <c r="AB12" s="8" t="s">
        <v>15</v>
      </c>
      <c r="AC12" s="8" t="s">
        <v>15</v>
      </c>
      <c r="AD12" s="8" t="s">
        <v>15</v>
      </c>
      <c r="AE12" s="8" t="s">
        <v>15</v>
      </c>
      <c r="AF12" s="8" t="s">
        <v>15</v>
      </c>
      <c r="AG12" s="8" t="s">
        <v>15</v>
      </c>
      <c r="AH12" s="8" t="s">
        <v>15</v>
      </c>
      <c r="AI12" s="8" t="s">
        <v>15</v>
      </c>
      <c r="AJ12" s="8" t="s">
        <v>15</v>
      </c>
      <c r="AK12" s="8" t="s">
        <v>15</v>
      </c>
      <c r="AL12" s="8" t="s">
        <v>15</v>
      </c>
    </row>
    <row r="13">
      <c r="A13" s="3" t="s">
        <v>52</v>
      </c>
      <c r="B13" s="3" t="s">
        <v>53</v>
      </c>
      <c r="C13" s="3" t="s">
        <v>54</v>
      </c>
      <c r="D13" s="3" t="s">
        <v>4</v>
      </c>
      <c r="E13" s="4"/>
      <c r="F13" s="4"/>
      <c r="G13" s="3" t="s">
        <v>5</v>
      </c>
      <c r="H13" s="3" t="s">
        <v>6</v>
      </c>
      <c r="I13" s="3"/>
      <c r="J13" s="5">
        <v>60.0</v>
      </c>
      <c r="K13" s="5">
        <v>55.0</v>
      </c>
      <c r="L13" s="3"/>
      <c r="M13" s="3"/>
      <c r="N13" s="8" t="s">
        <v>15</v>
      </c>
      <c r="O13" s="8" t="s">
        <v>15</v>
      </c>
      <c r="P13" s="8" t="s">
        <v>15</v>
      </c>
      <c r="Q13" s="8" t="s">
        <v>15</v>
      </c>
      <c r="R13" s="8" t="s">
        <v>15</v>
      </c>
      <c r="S13" s="8" t="s">
        <v>15</v>
      </c>
      <c r="T13" s="8" t="s">
        <v>15</v>
      </c>
      <c r="U13" s="8" t="s">
        <v>15</v>
      </c>
      <c r="V13" s="8" t="s">
        <v>15</v>
      </c>
      <c r="W13" s="8" t="s">
        <v>15</v>
      </c>
      <c r="X13" s="8" t="s">
        <v>15</v>
      </c>
      <c r="Y13" s="8" t="s">
        <v>15</v>
      </c>
      <c r="Z13" s="8" t="s">
        <v>15</v>
      </c>
      <c r="AA13" s="8" t="s">
        <v>15</v>
      </c>
      <c r="AB13" s="8" t="s">
        <v>15</v>
      </c>
      <c r="AC13" s="8" t="s">
        <v>15</v>
      </c>
      <c r="AD13" s="8" t="s">
        <v>15</v>
      </c>
      <c r="AE13" s="8" t="s">
        <v>15</v>
      </c>
      <c r="AF13" s="8" t="s">
        <v>15</v>
      </c>
      <c r="AG13" s="8" t="s">
        <v>15</v>
      </c>
      <c r="AH13" s="8" t="s">
        <v>15</v>
      </c>
      <c r="AI13" s="8" t="s">
        <v>15</v>
      </c>
      <c r="AJ13" s="8" t="s">
        <v>15</v>
      </c>
      <c r="AK13" s="8" t="s">
        <v>15</v>
      </c>
      <c r="AL13" s="8" t="s">
        <v>15</v>
      </c>
    </row>
    <row r="14">
      <c r="A14" s="3" t="s">
        <v>55</v>
      </c>
      <c r="B14" s="3" t="s">
        <v>56</v>
      </c>
      <c r="C14" s="3" t="s">
        <v>57</v>
      </c>
      <c r="D14" s="3" t="s">
        <v>4</v>
      </c>
      <c r="E14" s="4"/>
      <c r="F14" s="4"/>
      <c r="G14" s="3" t="s">
        <v>5</v>
      </c>
      <c r="H14" s="3" t="s">
        <v>6</v>
      </c>
      <c r="I14" s="3"/>
      <c r="J14" s="5">
        <v>220.0</v>
      </c>
      <c r="K14" s="5">
        <v>210.0</v>
      </c>
      <c r="L14" s="3"/>
      <c r="M14" s="3"/>
      <c r="N14" s="8" t="s">
        <v>15</v>
      </c>
      <c r="O14" s="8" t="s">
        <v>15</v>
      </c>
      <c r="P14" s="8" t="s">
        <v>15</v>
      </c>
      <c r="Q14" s="8" t="s">
        <v>15</v>
      </c>
      <c r="R14" s="8" t="s">
        <v>15</v>
      </c>
      <c r="S14" s="8" t="s">
        <v>15</v>
      </c>
      <c r="T14" s="8" t="s">
        <v>15</v>
      </c>
      <c r="U14" s="8" t="s">
        <v>15</v>
      </c>
      <c r="V14" s="8" t="s">
        <v>15</v>
      </c>
      <c r="W14" s="8" t="s">
        <v>15</v>
      </c>
      <c r="X14" s="8" t="s">
        <v>15</v>
      </c>
      <c r="Y14" s="8" t="s">
        <v>15</v>
      </c>
      <c r="Z14" s="8" t="s">
        <v>15</v>
      </c>
      <c r="AA14" s="8" t="s">
        <v>15</v>
      </c>
      <c r="AB14" s="8" t="s">
        <v>15</v>
      </c>
      <c r="AC14" s="8" t="s">
        <v>15</v>
      </c>
      <c r="AD14" s="8" t="s">
        <v>15</v>
      </c>
      <c r="AE14" s="8" t="s">
        <v>15</v>
      </c>
      <c r="AF14" s="8" t="s">
        <v>15</v>
      </c>
      <c r="AG14" s="8" t="s">
        <v>15</v>
      </c>
      <c r="AH14" s="8" t="s">
        <v>15</v>
      </c>
      <c r="AI14" s="8" t="s">
        <v>15</v>
      </c>
      <c r="AJ14" s="8" t="s">
        <v>15</v>
      </c>
      <c r="AK14" s="8" t="s">
        <v>15</v>
      </c>
      <c r="AL14" s="8" t="s">
        <v>15</v>
      </c>
    </row>
    <row r="15">
      <c r="A15" s="3" t="s">
        <v>58</v>
      </c>
      <c r="B15" s="3" t="s">
        <v>59</v>
      </c>
      <c r="C15" s="3" t="s">
        <v>60</v>
      </c>
      <c r="D15" s="3" t="s">
        <v>4</v>
      </c>
      <c r="E15" s="4"/>
      <c r="F15" s="4"/>
      <c r="G15" s="3" t="s">
        <v>5</v>
      </c>
      <c r="H15" s="3" t="s">
        <v>6</v>
      </c>
      <c r="I15" s="3"/>
      <c r="J15" s="5">
        <v>50.0</v>
      </c>
      <c r="K15" s="5">
        <v>50.0</v>
      </c>
      <c r="L15" s="3"/>
      <c r="M15" s="3"/>
      <c r="N15" s="8" t="s">
        <v>15</v>
      </c>
      <c r="O15" s="8" t="s">
        <v>15</v>
      </c>
      <c r="P15" s="8" t="s">
        <v>15</v>
      </c>
      <c r="Q15" s="8" t="s">
        <v>15</v>
      </c>
      <c r="R15" s="8" t="s">
        <v>15</v>
      </c>
      <c r="S15" s="8" t="s">
        <v>15</v>
      </c>
      <c r="T15" s="8" t="s">
        <v>15</v>
      </c>
      <c r="U15" s="8" t="s">
        <v>15</v>
      </c>
      <c r="V15" s="8" t="s">
        <v>15</v>
      </c>
      <c r="W15" s="8" t="s">
        <v>15</v>
      </c>
      <c r="X15" s="8" t="s">
        <v>15</v>
      </c>
      <c r="Y15" s="8" t="s">
        <v>15</v>
      </c>
      <c r="Z15" s="8" t="s">
        <v>15</v>
      </c>
      <c r="AA15" s="8" t="s">
        <v>15</v>
      </c>
      <c r="AB15" s="8" t="s">
        <v>15</v>
      </c>
      <c r="AC15" s="8" t="s">
        <v>15</v>
      </c>
      <c r="AD15" s="8" t="s">
        <v>15</v>
      </c>
      <c r="AE15" s="8" t="s">
        <v>15</v>
      </c>
      <c r="AF15" s="8" t="s">
        <v>15</v>
      </c>
      <c r="AG15" s="8" t="s">
        <v>15</v>
      </c>
      <c r="AH15" s="8" t="s">
        <v>15</v>
      </c>
      <c r="AI15" s="8" t="s">
        <v>15</v>
      </c>
      <c r="AJ15" s="8" t="s">
        <v>15</v>
      </c>
      <c r="AK15" s="8" t="s">
        <v>15</v>
      </c>
      <c r="AL15" s="8" t="s">
        <v>15</v>
      </c>
    </row>
    <row r="16">
      <c r="A16" s="3" t="s">
        <v>61</v>
      </c>
      <c r="B16" s="3" t="s">
        <v>62</v>
      </c>
      <c r="C16" s="3" t="s">
        <v>63</v>
      </c>
      <c r="D16" s="3" t="s">
        <v>4</v>
      </c>
      <c r="E16" s="4"/>
      <c r="F16" s="4"/>
      <c r="G16" s="3" t="s">
        <v>5</v>
      </c>
      <c r="H16" s="3" t="s">
        <v>6</v>
      </c>
      <c r="I16" s="3"/>
      <c r="J16" s="5"/>
      <c r="K16" s="5">
        <v>450.0</v>
      </c>
      <c r="L16" s="3"/>
      <c r="M16" s="3"/>
      <c r="N16" s="8" t="s">
        <v>15</v>
      </c>
      <c r="O16" s="8" t="s">
        <v>15</v>
      </c>
      <c r="P16" s="8" t="s">
        <v>15</v>
      </c>
      <c r="Q16" s="8" t="s">
        <v>15</v>
      </c>
      <c r="R16" s="8" t="s">
        <v>15</v>
      </c>
      <c r="S16" s="8" t="s">
        <v>15</v>
      </c>
      <c r="T16" s="8" t="s">
        <v>15</v>
      </c>
      <c r="U16" s="8" t="s">
        <v>15</v>
      </c>
      <c r="V16" s="8" t="s">
        <v>15</v>
      </c>
      <c r="W16" s="8" t="s">
        <v>15</v>
      </c>
      <c r="X16" s="8" t="s">
        <v>15</v>
      </c>
      <c r="Y16" s="8" t="s">
        <v>15</v>
      </c>
      <c r="Z16" s="8" t="s">
        <v>15</v>
      </c>
      <c r="AA16" s="8" t="s">
        <v>15</v>
      </c>
      <c r="AB16" s="8" t="s">
        <v>15</v>
      </c>
      <c r="AC16" s="8" t="s">
        <v>15</v>
      </c>
      <c r="AD16" s="8" t="s">
        <v>15</v>
      </c>
      <c r="AE16" s="8" t="s">
        <v>15</v>
      </c>
      <c r="AF16" s="8" t="s">
        <v>15</v>
      </c>
      <c r="AG16" s="8" t="s">
        <v>15</v>
      </c>
      <c r="AH16" s="8" t="s">
        <v>15</v>
      </c>
      <c r="AI16" s="8" t="s">
        <v>15</v>
      </c>
      <c r="AJ16" s="8" t="s">
        <v>15</v>
      </c>
      <c r="AK16" s="8" t="s">
        <v>15</v>
      </c>
      <c r="AL16" s="8" t="s">
        <v>15</v>
      </c>
    </row>
    <row r="17">
      <c r="A17" s="3" t="s">
        <v>64</v>
      </c>
      <c r="B17" s="3" t="s">
        <v>65</v>
      </c>
      <c r="C17" s="3" t="s">
        <v>66</v>
      </c>
      <c r="D17" s="3" t="s">
        <v>4</v>
      </c>
      <c r="E17" s="4"/>
      <c r="F17" s="4"/>
      <c r="G17" s="3" t="s">
        <v>5</v>
      </c>
      <c r="H17" s="3" t="s">
        <v>12</v>
      </c>
      <c r="I17" s="3"/>
      <c r="J17" s="9">
        <v>10.0</v>
      </c>
      <c r="K17" s="9">
        <v>10.0</v>
      </c>
      <c r="L17" s="3"/>
      <c r="M17" s="3"/>
      <c r="N17" s="8" t="s">
        <v>15</v>
      </c>
      <c r="O17" s="8" t="s">
        <v>15</v>
      </c>
      <c r="P17" s="8" t="s">
        <v>15</v>
      </c>
      <c r="Q17" s="8" t="s">
        <v>15</v>
      </c>
      <c r="R17" s="8" t="s">
        <v>15</v>
      </c>
      <c r="S17" s="8" t="s">
        <v>15</v>
      </c>
      <c r="T17" s="8" t="s">
        <v>15</v>
      </c>
      <c r="U17" s="8" t="s">
        <v>15</v>
      </c>
      <c r="V17" s="8" t="s">
        <v>15</v>
      </c>
      <c r="W17" s="8" t="s">
        <v>15</v>
      </c>
      <c r="X17" s="8" t="s">
        <v>15</v>
      </c>
      <c r="Y17" s="8" t="s">
        <v>15</v>
      </c>
      <c r="Z17" s="8" t="s">
        <v>15</v>
      </c>
      <c r="AA17" s="8" t="s">
        <v>15</v>
      </c>
      <c r="AB17" s="8" t="s">
        <v>15</v>
      </c>
      <c r="AC17" s="8" t="s">
        <v>15</v>
      </c>
      <c r="AD17" s="8" t="s">
        <v>15</v>
      </c>
      <c r="AE17" s="8" t="s">
        <v>15</v>
      </c>
      <c r="AF17" s="8" t="s">
        <v>15</v>
      </c>
      <c r="AG17" s="8" t="s">
        <v>15</v>
      </c>
      <c r="AH17" s="8" t="s">
        <v>15</v>
      </c>
      <c r="AI17" s="8" t="s">
        <v>15</v>
      </c>
      <c r="AJ17" s="8" t="s">
        <v>15</v>
      </c>
      <c r="AK17" s="8" t="s">
        <v>15</v>
      </c>
      <c r="AL17" s="8" t="s">
        <v>15</v>
      </c>
    </row>
    <row r="18">
      <c r="A18" s="3" t="s">
        <v>67</v>
      </c>
      <c r="B18" s="3" t="s">
        <v>68</v>
      </c>
      <c r="C18" s="3" t="s">
        <v>69</v>
      </c>
      <c r="D18" s="3" t="s">
        <v>4</v>
      </c>
      <c r="E18" s="4"/>
      <c r="F18" s="4"/>
      <c r="G18" s="3" t="s">
        <v>5</v>
      </c>
      <c r="H18" s="3" t="s">
        <v>6</v>
      </c>
      <c r="I18" s="3"/>
      <c r="J18" s="5">
        <v>125.0</v>
      </c>
      <c r="K18" s="5">
        <v>120.0</v>
      </c>
      <c r="L18" s="3"/>
      <c r="M18" s="3"/>
      <c r="N18" s="8" t="s">
        <v>15</v>
      </c>
      <c r="O18" s="8" t="s">
        <v>15</v>
      </c>
      <c r="P18" s="8" t="s">
        <v>15</v>
      </c>
      <c r="Q18" s="8" t="s">
        <v>15</v>
      </c>
      <c r="R18" s="8" t="s">
        <v>15</v>
      </c>
      <c r="S18" s="8" t="s">
        <v>15</v>
      </c>
      <c r="T18" s="8" t="s">
        <v>15</v>
      </c>
      <c r="U18" s="8" t="s">
        <v>15</v>
      </c>
      <c r="V18" s="8" t="s">
        <v>15</v>
      </c>
      <c r="W18" s="8" t="s">
        <v>15</v>
      </c>
      <c r="X18" s="8" t="s">
        <v>15</v>
      </c>
      <c r="Y18" s="8" t="s">
        <v>15</v>
      </c>
      <c r="Z18" s="8" t="s">
        <v>15</v>
      </c>
      <c r="AA18" s="8" t="s">
        <v>15</v>
      </c>
      <c r="AB18" s="8" t="s">
        <v>15</v>
      </c>
      <c r="AC18" s="8" t="s">
        <v>15</v>
      </c>
      <c r="AD18" s="8" t="s">
        <v>15</v>
      </c>
      <c r="AE18" s="8" t="s">
        <v>15</v>
      </c>
      <c r="AF18" s="8" t="s">
        <v>15</v>
      </c>
      <c r="AG18" s="8" t="s">
        <v>15</v>
      </c>
      <c r="AH18" s="8" t="s">
        <v>15</v>
      </c>
      <c r="AI18" s="8" t="s">
        <v>15</v>
      </c>
      <c r="AJ18" s="8" t="s">
        <v>15</v>
      </c>
      <c r="AK18" s="8" t="s">
        <v>15</v>
      </c>
      <c r="AL18" s="8" t="s">
        <v>15</v>
      </c>
    </row>
    <row r="19">
      <c r="A19" s="3" t="s">
        <v>70</v>
      </c>
      <c r="B19" s="3" t="s">
        <v>71</v>
      </c>
      <c r="C19" s="3" t="s">
        <v>72</v>
      </c>
      <c r="D19" s="3" t="s">
        <v>4</v>
      </c>
      <c r="E19" s="4"/>
      <c r="F19" s="4"/>
      <c r="G19" s="3" t="s">
        <v>5</v>
      </c>
      <c r="H19" s="3" t="s">
        <v>6</v>
      </c>
      <c r="I19" s="3"/>
      <c r="J19" s="5">
        <v>210.0</v>
      </c>
      <c r="K19" s="5">
        <v>200.0</v>
      </c>
      <c r="L19" s="3"/>
      <c r="M19" s="3"/>
      <c r="N19" s="8" t="s">
        <v>15</v>
      </c>
      <c r="O19" s="8" t="s">
        <v>15</v>
      </c>
      <c r="P19" s="8" t="s">
        <v>15</v>
      </c>
      <c r="Q19" s="8" t="s">
        <v>15</v>
      </c>
      <c r="R19" s="8" t="s">
        <v>15</v>
      </c>
      <c r="S19" s="8" t="s">
        <v>15</v>
      </c>
      <c r="T19" s="8" t="s">
        <v>15</v>
      </c>
      <c r="U19" s="8" t="s">
        <v>15</v>
      </c>
      <c r="V19" s="8" t="s">
        <v>15</v>
      </c>
      <c r="W19" s="8" t="s">
        <v>15</v>
      </c>
      <c r="X19" s="8" t="s">
        <v>15</v>
      </c>
      <c r="Y19" s="8" t="s">
        <v>15</v>
      </c>
      <c r="Z19" s="8" t="s">
        <v>15</v>
      </c>
      <c r="AA19" s="8" t="s">
        <v>15</v>
      </c>
      <c r="AB19" s="8" t="s">
        <v>15</v>
      </c>
      <c r="AC19" s="8" t="s">
        <v>15</v>
      </c>
      <c r="AD19" s="8" t="s">
        <v>15</v>
      </c>
      <c r="AE19" s="8" t="s">
        <v>15</v>
      </c>
      <c r="AF19" s="8" t="s">
        <v>15</v>
      </c>
      <c r="AG19" s="8" t="s">
        <v>15</v>
      </c>
      <c r="AH19" s="8" t="s">
        <v>15</v>
      </c>
      <c r="AI19" s="8" t="s">
        <v>15</v>
      </c>
      <c r="AJ19" s="8" t="s">
        <v>15</v>
      </c>
      <c r="AK19" s="8" t="s">
        <v>15</v>
      </c>
      <c r="AL19" s="8" t="s">
        <v>15</v>
      </c>
    </row>
    <row r="20">
      <c r="A20" s="3" t="s">
        <v>73</v>
      </c>
      <c r="B20" s="3" t="s">
        <v>74</v>
      </c>
      <c r="C20" s="3" t="s">
        <v>75</v>
      </c>
      <c r="D20" s="3" t="s">
        <v>4</v>
      </c>
      <c r="E20" s="4"/>
      <c r="F20" s="4"/>
      <c r="G20" s="3" t="s">
        <v>5</v>
      </c>
      <c r="H20" s="3" t="s">
        <v>6</v>
      </c>
      <c r="I20" s="3"/>
      <c r="J20" s="5">
        <v>225.0</v>
      </c>
      <c r="K20" s="5">
        <v>220.0</v>
      </c>
      <c r="L20" s="3"/>
      <c r="M20" s="3"/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  <c r="T20" s="8" t="s">
        <v>15</v>
      </c>
      <c r="U20" s="8" t="s">
        <v>15</v>
      </c>
      <c r="V20" s="8" t="s">
        <v>15</v>
      </c>
      <c r="W20" s="8" t="s">
        <v>15</v>
      </c>
      <c r="X20" s="8" t="s">
        <v>15</v>
      </c>
      <c r="Y20" s="8" t="s">
        <v>15</v>
      </c>
      <c r="Z20" s="8" t="s">
        <v>15</v>
      </c>
      <c r="AA20" s="8" t="s">
        <v>15</v>
      </c>
      <c r="AB20" s="8" t="s">
        <v>15</v>
      </c>
      <c r="AC20" s="8" t="s">
        <v>15</v>
      </c>
      <c r="AD20" s="8" t="s">
        <v>15</v>
      </c>
      <c r="AE20" s="8" t="s">
        <v>15</v>
      </c>
      <c r="AF20" s="8" t="s">
        <v>15</v>
      </c>
      <c r="AG20" s="8" t="s">
        <v>15</v>
      </c>
      <c r="AH20" s="8" t="s">
        <v>15</v>
      </c>
      <c r="AI20" s="8" t="s">
        <v>15</v>
      </c>
      <c r="AJ20" s="8" t="s">
        <v>15</v>
      </c>
      <c r="AK20" s="8" t="s">
        <v>15</v>
      </c>
      <c r="AL20" s="8" t="s">
        <v>15</v>
      </c>
    </row>
    <row r="21">
      <c r="A21" s="3" t="s">
        <v>76</v>
      </c>
      <c r="B21" s="3" t="s">
        <v>77</v>
      </c>
      <c r="C21" s="3" t="s">
        <v>78</v>
      </c>
      <c r="D21" s="3" t="s">
        <v>4</v>
      </c>
      <c r="E21" s="4"/>
      <c r="F21" s="4"/>
      <c r="G21" s="3" t="s">
        <v>5</v>
      </c>
      <c r="H21" s="3" t="s">
        <v>6</v>
      </c>
      <c r="I21" s="3"/>
      <c r="J21" s="5">
        <v>3.0</v>
      </c>
      <c r="K21" s="5">
        <v>3.0</v>
      </c>
      <c r="L21" s="3"/>
      <c r="M21" s="3"/>
      <c r="N21" s="8" t="s">
        <v>15</v>
      </c>
      <c r="O21" s="8" t="s">
        <v>15</v>
      </c>
      <c r="P21" s="8" t="s">
        <v>15</v>
      </c>
      <c r="Q21" s="8" t="s">
        <v>15</v>
      </c>
      <c r="R21" s="8" t="s">
        <v>15</v>
      </c>
      <c r="S21" s="8" t="s">
        <v>15</v>
      </c>
      <c r="T21" s="8" t="s">
        <v>15</v>
      </c>
      <c r="U21" s="8" t="s">
        <v>15</v>
      </c>
      <c r="V21" s="8" t="s">
        <v>15</v>
      </c>
      <c r="W21" s="8" t="s">
        <v>15</v>
      </c>
      <c r="X21" s="8" t="s">
        <v>15</v>
      </c>
      <c r="Y21" s="8" t="s">
        <v>15</v>
      </c>
      <c r="Z21" s="8" t="s">
        <v>15</v>
      </c>
      <c r="AA21" s="8" t="s">
        <v>15</v>
      </c>
      <c r="AB21" s="8" t="s">
        <v>15</v>
      </c>
      <c r="AC21" s="8" t="s">
        <v>15</v>
      </c>
      <c r="AD21" s="8" t="s">
        <v>15</v>
      </c>
      <c r="AE21" s="8" t="s">
        <v>15</v>
      </c>
      <c r="AF21" s="8" t="s">
        <v>15</v>
      </c>
      <c r="AG21" s="8" t="s">
        <v>15</v>
      </c>
      <c r="AH21" s="8" t="s">
        <v>15</v>
      </c>
      <c r="AI21" s="8" t="s">
        <v>15</v>
      </c>
      <c r="AJ21" s="8" t="s">
        <v>15</v>
      </c>
      <c r="AK21" s="8" t="s">
        <v>15</v>
      </c>
      <c r="AL21" s="8" t="s">
        <v>15</v>
      </c>
    </row>
    <row r="22">
      <c r="A22" s="3" t="s">
        <v>79</v>
      </c>
      <c r="B22" s="3" t="s">
        <v>80</v>
      </c>
      <c r="C22" s="3" t="s">
        <v>81</v>
      </c>
      <c r="D22" s="3" t="s">
        <v>4</v>
      </c>
      <c r="E22" s="4"/>
      <c r="F22" s="4"/>
      <c r="G22" s="3" t="s">
        <v>5</v>
      </c>
      <c r="H22" s="3" t="s">
        <v>12</v>
      </c>
      <c r="I22" s="3"/>
      <c r="J22" s="9">
        <v>490.0</v>
      </c>
      <c r="K22" s="9">
        <v>480.0</v>
      </c>
      <c r="L22" s="3"/>
      <c r="M22" s="3"/>
      <c r="N22" s="8" t="s">
        <v>15</v>
      </c>
      <c r="O22" s="8" t="s">
        <v>15</v>
      </c>
      <c r="P22" s="8" t="s">
        <v>15</v>
      </c>
      <c r="Q22" s="8" t="s">
        <v>15</v>
      </c>
      <c r="R22" s="8" t="s">
        <v>15</v>
      </c>
      <c r="S22" s="8" t="s">
        <v>15</v>
      </c>
      <c r="T22" s="8" t="s">
        <v>15</v>
      </c>
      <c r="U22" s="8" t="s">
        <v>15</v>
      </c>
      <c r="V22" s="8" t="s">
        <v>15</v>
      </c>
      <c r="W22" s="8" t="s">
        <v>15</v>
      </c>
      <c r="X22" s="8" t="s">
        <v>15</v>
      </c>
      <c r="Y22" s="8" t="s">
        <v>15</v>
      </c>
      <c r="Z22" s="8" t="s">
        <v>15</v>
      </c>
      <c r="AA22" s="8" t="s">
        <v>15</v>
      </c>
      <c r="AB22" s="8" t="s">
        <v>15</v>
      </c>
      <c r="AC22" s="8" t="s">
        <v>15</v>
      </c>
      <c r="AD22" s="8" t="s">
        <v>15</v>
      </c>
      <c r="AE22" s="8" t="s">
        <v>15</v>
      </c>
      <c r="AF22" s="8" t="s">
        <v>15</v>
      </c>
      <c r="AG22" s="8" t="s">
        <v>15</v>
      </c>
      <c r="AH22" s="8" t="s">
        <v>15</v>
      </c>
      <c r="AI22" s="8" t="s">
        <v>15</v>
      </c>
      <c r="AJ22" s="8" t="s">
        <v>15</v>
      </c>
      <c r="AK22" s="8" t="s">
        <v>15</v>
      </c>
      <c r="AL22" s="8" t="s">
        <v>15</v>
      </c>
    </row>
    <row r="23">
      <c r="A23" s="3" t="s">
        <v>82</v>
      </c>
      <c r="B23" s="3" t="s">
        <v>83</v>
      </c>
      <c r="C23" s="3" t="s">
        <v>84</v>
      </c>
      <c r="D23" s="3" t="s">
        <v>4</v>
      </c>
      <c r="E23" s="4"/>
      <c r="F23" s="4"/>
      <c r="G23" s="3" t="s">
        <v>5</v>
      </c>
      <c r="H23" s="3" t="s">
        <v>6</v>
      </c>
      <c r="I23" s="3"/>
      <c r="J23" s="5">
        <v>220.0</v>
      </c>
      <c r="K23" s="5">
        <v>200.0</v>
      </c>
      <c r="L23" s="3"/>
      <c r="M23" s="3"/>
      <c r="N23" s="8" t="s">
        <v>15</v>
      </c>
      <c r="O23" s="8" t="s">
        <v>15</v>
      </c>
      <c r="P23" s="8" t="s">
        <v>15</v>
      </c>
      <c r="Q23" s="8" t="s">
        <v>15</v>
      </c>
      <c r="R23" s="8" t="s">
        <v>15</v>
      </c>
      <c r="S23" s="8" t="s">
        <v>15</v>
      </c>
      <c r="T23" s="8" t="s">
        <v>15</v>
      </c>
      <c r="U23" s="8" t="s">
        <v>15</v>
      </c>
      <c r="V23" s="8" t="s">
        <v>15</v>
      </c>
      <c r="W23" s="8" t="s">
        <v>15</v>
      </c>
      <c r="X23" s="8" t="s">
        <v>15</v>
      </c>
      <c r="Y23" s="8" t="s">
        <v>15</v>
      </c>
      <c r="Z23" s="8" t="s">
        <v>15</v>
      </c>
      <c r="AA23" s="8" t="s">
        <v>15</v>
      </c>
      <c r="AB23" s="8" t="s">
        <v>15</v>
      </c>
      <c r="AC23" s="8" t="s">
        <v>15</v>
      </c>
      <c r="AD23" s="8" t="s">
        <v>15</v>
      </c>
      <c r="AE23" s="8" t="s">
        <v>15</v>
      </c>
      <c r="AF23" s="8" t="s">
        <v>15</v>
      </c>
      <c r="AG23" s="8" t="s">
        <v>15</v>
      </c>
      <c r="AH23" s="8" t="s">
        <v>15</v>
      </c>
      <c r="AI23" s="8" t="s">
        <v>15</v>
      </c>
      <c r="AJ23" s="8" t="s">
        <v>15</v>
      </c>
      <c r="AK23" s="8" t="s">
        <v>15</v>
      </c>
      <c r="AL23" s="8" t="s">
        <v>15</v>
      </c>
    </row>
    <row r="24">
      <c r="A24" s="3" t="s">
        <v>85</v>
      </c>
      <c r="B24" s="3" t="s">
        <v>86</v>
      </c>
      <c r="C24" s="3" t="s">
        <v>87</v>
      </c>
      <c r="D24" s="3" t="s">
        <v>4</v>
      </c>
      <c r="E24" s="4"/>
      <c r="F24" s="4"/>
      <c r="G24" s="3" t="s">
        <v>5</v>
      </c>
      <c r="H24" s="3" t="s">
        <v>6</v>
      </c>
      <c r="I24" s="3"/>
      <c r="J24" s="5">
        <v>120.0</v>
      </c>
      <c r="K24" s="5">
        <v>120.0</v>
      </c>
      <c r="L24" s="3"/>
      <c r="M24" s="3"/>
      <c r="N24" s="8" t="s">
        <v>15</v>
      </c>
      <c r="O24" s="8" t="s">
        <v>15</v>
      </c>
      <c r="P24" s="8" t="s">
        <v>15</v>
      </c>
      <c r="Q24" s="8" t="s">
        <v>15</v>
      </c>
      <c r="R24" s="8" t="s">
        <v>15</v>
      </c>
      <c r="S24" s="8" t="s">
        <v>15</v>
      </c>
      <c r="T24" s="8" t="s">
        <v>15</v>
      </c>
      <c r="U24" s="8" t="s">
        <v>15</v>
      </c>
      <c r="V24" s="8" t="s">
        <v>15</v>
      </c>
      <c r="W24" s="8" t="s">
        <v>15</v>
      </c>
      <c r="X24" s="8" t="s">
        <v>15</v>
      </c>
      <c r="Y24" s="8" t="s">
        <v>15</v>
      </c>
      <c r="Z24" s="8" t="s">
        <v>15</v>
      </c>
      <c r="AA24" s="8" t="s">
        <v>15</v>
      </c>
      <c r="AB24" s="8" t="s">
        <v>15</v>
      </c>
      <c r="AC24" s="8" t="s">
        <v>15</v>
      </c>
      <c r="AD24" s="8" t="s">
        <v>15</v>
      </c>
      <c r="AE24" s="8" t="s">
        <v>15</v>
      </c>
      <c r="AF24" s="8" t="s">
        <v>15</v>
      </c>
      <c r="AG24" s="8" t="s">
        <v>15</v>
      </c>
      <c r="AH24" s="8" t="s">
        <v>15</v>
      </c>
      <c r="AI24" s="8" t="s">
        <v>15</v>
      </c>
      <c r="AJ24" s="8" t="s">
        <v>15</v>
      </c>
      <c r="AK24" s="8" t="s">
        <v>15</v>
      </c>
      <c r="AL24" s="8" t="s">
        <v>15</v>
      </c>
    </row>
    <row r="25">
      <c r="A25" s="3" t="s">
        <v>88</v>
      </c>
      <c r="B25" s="3" t="s">
        <v>89</v>
      </c>
      <c r="C25" s="3" t="s">
        <v>90</v>
      </c>
      <c r="D25" s="3" t="s">
        <v>4</v>
      </c>
      <c r="E25" s="4"/>
      <c r="F25" s="4"/>
      <c r="G25" s="3" t="s">
        <v>5</v>
      </c>
      <c r="H25" s="3" t="s">
        <v>6</v>
      </c>
      <c r="I25" s="3"/>
      <c r="J25" s="5">
        <v>170.0</v>
      </c>
      <c r="K25" s="5">
        <v>160.0</v>
      </c>
      <c r="L25" s="3"/>
      <c r="M25" s="3"/>
      <c r="N25" s="8" t="s">
        <v>15</v>
      </c>
      <c r="O25" s="8" t="s">
        <v>15</v>
      </c>
      <c r="P25" s="8" t="s">
        <v>15</v>
      </c>
      <c r="Q25" s="8" t="s">
        <v>15</v>
      </c>
      <c r="R25" s="8" t="s">
        <v>15</v>
      </c>
      <c r="S25" s="8" t="s">
        <v>15</v>
      </c>
      <c r="T25" s="8" t="s">
        <v>15</v>
      </c>
      <c r="U25" s="8" t="s">
        <v>15</v>
      </c>
      <c r="V25" s="8" t="s">
        <v>15</v>
      </c>
      <c r="W25" s="8" t="s">
        <v>15</v>
      </c>
      <c r="X25" s="8" t="s">
        <v>15</v>
      </c>
      <c r="Y25" s="8" t="s">
        <v>15</v>
      </c>
      <c r="Z25" s="8" t="s">
        <v>15</v>
      </c>
      <c r="AA25" s="8" t="s">
        <v>15</v>
      </c>
      <c r="AB25" s="8" t="s">
        <v>15</v>
      </c>
      <c r="AC25" s="8" t="s">
        <v>15</v>
      </c>
      <c r="AD25" s="8" t="s">
        <v>15</v>
      </c>
      <c r="AE25" s="8" t="s">
        <v>15</v>
      </c>
      <c r="AF25" s="8" t="s">
        <v>15</v>
      </c>
      <c r="AG25" s="8" t="s">
        <v>15</v>
      </c>
      <c r="AH25" s="8" t="s">
        <v>15</v>
      </c>
      <c r="AI25" s="8" t="s">
        <v>15</v>
      </c>
      <c r="AJ25" s="8" t="s">
        <v>15</v>
      </c>
      <c r="AK25" s="8" t="s">
        <v>15</v>
      </c>
      <c r="AL25" s="8" t="s">
        <v>15</v>
      </c>
    </row>
    <row r="26">
      <c r="A26" s="3" t="s">
        <v>91</v>
      </c>
      <c r="B26" s="3" t="s">
        <v>92</v>
      </c>
      <c r="C26" s="3" t="s">
        <v>93</v>
      </c>
      <c r="D26" s="3" t="s">
        <v>4</v>
      </c>
      <c r="E26" s="4"/>
      <c r="F26" s="4"/>
      <c r="G26" s="3" t="s">
        <v>5</v>
      </c>
      <c r="H26" s="3" t="s">
        <v>6</v>
      </c>
      <c r="I26" s="3"/>
      <c r="J26" s="5"/>
      <c r="K26" s="5">
        <v>20.0</v>
      </c>
      <c r="L26" s="3"/>
      <c r="M26" s="3"/>
      <c r="N26" s="8" t="s">
        <v>15</v>
      </c>
      <c r="O26" s="8" t="s">
        <v>15</v>
      </c>
      <c r="P26" s="8" t="s">
        <v>15</v>
      </c>
      <c r="Q26" s="8" t="s">
        <v>15</v>
      </c>
      <c r="R26" s="8" t="s">
        <v>15</v>
      </c>
      <c r="S26" s="8" t="s">
        <v>15</v>
      </c>
      <c r="T26" s="8" t="s">
        <v>15</v>
      </c>
      <c r="U26" s="8" t="s">
        <v>15</v>
      </c>
      <c r="V26" s="8" t="s">
        <v>15</v>
      </c>
      <c r="W26" s="8" t="s">
        <v>15</v>
      </c>
      <c r="X26" s="8" t="s">
        <v>15</v>
      </c>
      <c r="Y26" s="8" t="s">
        <v>15</v>
      </c>
      <c r="Z26" s="8" t="s">
        <v>15</v>
      </c>
      <c r="AA26" s="8" t="s">
        <v>15</v>
      </c>
      <c r="AB26" s="8" t="s">
        <v>15</v>
      </c>
      <c r="AC26" s="8" t="s">
        <v>15</v>
      </c>
      <c r="AD26" s="8" t="s">
        <v>15</v>
      </c>
      <c r="AE26" s="8" t="s">
        <v>15</v>
      </c>
      <c r="AF26" s="8" t="s">
        <v>15</v>
      </c>
      <c r="AG26" s="8" t="s">
        <v>15</v>
      </c>
      <c r="AH26" s="8" t="s">
        <v>15</v>
      </c>
      <c r="AI26" s="8" t="s">
        <v>15</v>
      </c>
      <c r="AJ26" s="8" t="s">
        <v>15</v>
      </c>
      <c r="AK26" s="8" t="s">
        <v>15</v>
      </c>
      <c r="AL26" s="8" t="s">
        <v>15</v>
      </c>
    </row>
    <row r="27">
      <c r="A27" s="3" t="s">
        <v>94</v>
      </c>
      <c r="B27" s="3" t="s">
        <v>95</v>
      </c>
      <c r="C27" s="3" t="s">
        <v>96</v>
      </c>
      <c r="D27" s="3" t="s">
        <v>4</v>
      </c>
      <c r="E27" s="4"/>
      <c r="F27" s="4"/>
      <c r="G27" s="3" t="s">
        <v>5</v>
      </c>
      <c r="H27" s="3" t="s">
        <v>6</v>
      </c>
      <c r="I27" s="3"/>
      <c r="J27" s="5">
        <v>20.0</v>
      </c>
      <c r="K27" s="5">
        <v>20.0</v>
      </c>
      <c r="L27" s="3"/>
      <c r="M27" s="3"/>
      <c r="N27" s="8" t="s">
        <v>15</v>
      </c>
      <c r="O27" s="8" t="s">
        <v>15</v>
      </c>
      <c r="P27" s="8" t="s">
        <v>15</v>
      </c>
      <c r="Q27" s="8" t="s">
        <v>15</v>
      </c>
      <c r="R27" s="8" t="s">
        <v>15</v>
      </c>
      <c r="S27" s="8" t="s">
        <v>15</v>
      </c>
      <c r="T27" s="8" t="s">
        <v>15</v>
      </c>
      <c r="U27" s="8" t="s">
        <v>15</v>
      </c>
      <c r="V27" s="8" t="s">
        <v>15</v>
      </c>
      <c r="W27" s="8" t="s">
        <v>15</v>
      </c>
      <c r="X27" s="8" t="s">
        <v>15</v>
      </c>
      <c r="Y27" s="8" t="s">
        <v>15</v>
      </c>
      <c r="Z27" s="8" t="s">
        <v>15</v>
      </c>
      <c r="AA27" s="8" t="s">
        <v>15</v>
      </c>
      <c r="AB27" s="8" t="s">
        <v>15</v>
      </c>
      <c r="AC27" s="8" t="s">
        <v>15</v>
      </c>
      <c r="AD27" s="8" t="s">
        <v>15</v>
      </c>
      <c r="AE27" s="8" t="s">
        <v>15</v>
      </c>
      <c r="AF27" s="8" t="s">
        <v>15</v>
      </c>
      <c r="AG27" s="8" t="s">
        <v>15</v>
      </c>
      <c r="AH27" s="8" t="s">
        <v>15</v>
      </c>
      <c r="AI27" s="8" t="s">
        <v>15</v>
      </c>
      <c r="AJ27" s="8" t="s">
        <v>15</v>
      </c>
      <c r="AK27" s="8" t="s">
        <v>15</v>
      </c>
      <c r="AL27" s="8" t="s">
        <v>15</v>
      </c>
    </row>
    <row r="28">
      <c r="A28" s="3" t="s">
        <v>97</v>
      </c>
      <c r="B28" s="3" t="s">
        <v>98</v>
      </c>
      <c r="C28" s="3" t="s">
        <v>99</v>
      </c>
      <c r="D28" s="3" t="s">
        <v>4</v>
      </c>
      <c r="E28" s="4"/>
      <c r="F28" s="4"/>
      <c r="G28" s="3" t="s">
        <v>5</v>
      </c>
      <c r="H28" s="3" t="s">
        <v>6</v>
      </c>
      <c r="I28" s="3"/>
      <c r="J28" s="5">
        <v>15.0</v>
      </c>
      <c r="K28" s="5">
        <v>15.0</v>
      </c>
      <c r="L28" s="3"/>
      <c r="M28" s="3"/>
      <c r="N28" s="8" t="s">
        <v>15</v>
      </c>
      <c r="O28" s="8" t="s">
        <v>15</v>
      </c>
      <c r="P28" s="8" t="s">
        <v>15</v>
      </c>
      <c r="Q28" s="8" t="s">
        <v>15</v>
      </c>
      <c r="R28" s="8" t="s">
        <v>15</v>
      </c>
      <c r="S28" s="8" t="s">
        <v>15</v>
      </c>
      <c r="T28" s="8" t="s">
        <v>15</v>
      </c>
      <c r="U28" s="8" t="s">
        <v>15</v>
      </c>
      <c r="V28" s="8" t="s">
        <v>15</v>
      </c>
      <c r="W28" s="8" t="s">
        <v>15</v>
      </c>
      <c r="X28" s="8" t="s">
        <v>15</v>
      </c>
      <c r="Y28" s="8" t="s">
        <v>15</v>
      </c>
      <c r="Z28" s="8" t="s">
        <v>15</v>
      </c>
      <c r="AA28" s="8" t="s">
        <v>15</v>
      </c>
      <c r="AB28" s="8" t="s">
        <v>15</v>
      </c>
      <c r="AC28" s="8" t="s">
        <v>15</v>
      </c>
      <c r="AD28" s="8" t="s">
        <v>15</v>
      </c>
      <c r="AE28" s="8" t="s">
        <v>15</v>
      </c>
      <c r="AF28" s="8" t="s">
        <v>15</v>
      </c>
      <c r="AG28" s="8" t="s">
        <v>15</v>
      </c>
      <c r="AH28" s="8" t="s">
        <v>15</v>
      </c>
      <c r="AI28" s="8" t="s">
        <v>15</v>
      </c>
      <c r="AJ28" s="8" t="s">
        <v>15</v>
      </c>
      <c r="AK28" s="8" t="s">
        <v>15</v>
      </c>
      <c r="AL28" s="8" t="s">
        <v>15</v>
      </c>
    </row>
    <row r="29">
      <c r="A29" s="3" t="s">
        <v>100</v>
      </c>
      <c r="B29" s="3" t="s">
        <v>101</v>
      </c>
      <c r="C29" s="3" t="s">
        <v>102</v>
      </c>
      <c r="D29" s="3" t="s">
        <v>4</v>
      </c>
      <c r="E29" s="4"/>
      <c r="F29" s="4"/>
      <c r="G29" s="3" t="s">
        <v>5</v>
      </c>
      <c r="H29" s="3" t="s">
        <v>6</v>
      </c>
      <c r="I29" s="3"/>
      <c r="J29" s="5">
        <v>15.0</v>
      </c>
      <c r="K29" s="5">
        <v>12.0</v>
      </c>
      <c r="L29" s="3"/>
      <c r="M29" s="3"/>
      <c r="N29" s="8" t="s">
        <v>15</v>
      </c>
      <c r="O29" s="8" t="s">
        <v>15</v>
      </c>
      <c r="P29" s="8" t="s">
        <v>15</v>
      </c>
      <c r="Q29" s="8" t="s">
        <v>15</v>
      </c>
      <c r="R29" s="8" t="s">
        <v>15</v>
      </c>
      <c r="S29" s="8" t="s">
        <v>15</v>
      </c>
      <c r="T29" s="8" t="s">
        <v>15</v>
      </c>
      <c r="U29" s="8" t="s">
        <v>15</v>
      </c>
      <c r="V29" s="8" t="s">
        <v>15</v>
      </c>
      <c r="W29" s="8" t="s">
        <v>15</v>
      </c>
      <c r="X29" s="8" t="s">
        <v>15</v>
      </c>
      <c r="Y29" s="8" t="s">
        <v>15</v>
      </c>
      <c r="Z29" s="8" t="s">
        <v>15</v>
      </c>
      <c r="AA29" s="8" t="s">
        <v>15</v>
      </c>
      <c r="AB29" s="8" t="s">
        <v>15</v>
      </c>
      <c r="AC29" s="8" t="s">
        <v>15</v>
      </c>
      <c r="AD29" s="8" t="s">
        <v>15</v>
      </c>
      <c r="AE29" s="8" t="s">
        <v>15</v>
      </c>
      <c r="AF29" s="8" t="s">
        <v>15</v>
      </c>
      <c r="AG29" s="8" t="s">
        <v>15</v>
      </c>
      <c r="AH29" s="8" t="s">
        <v>15</v>
      </c>
      <c r="AI29" s="8" t="s">
        <v>15</v>
      </c>
      <c r="AJ29" s="8" t="s">
        <v>15</v>
      </c>
      <c r="AK29" s="8" t="s">
        <v>15</v>
      </c>
      <c r="AL29" s="8" t="s">
        <v>15</v>
      </c>
    </row>
    <row r="30">
      <c r="A30" s="3" t="s">
        <v>103</v>
      </c>
      <c r="B30" s="3" t="s">
        <v>104</v>
      </c>
      <c r="C30" s="3" t="s">
        <v>105</v>
      </c>
      <c r="D30" s="3" t="s">
        <v>4</v>
      </c>
      <c r="E30" s="4"/>
      <c r="F30" s="4"/>
      <c r="G30" s="3" t="s">
        <v>5</v>
      </c>
      <c r="H30" s="3" t="s">
        <v>12</v>
      </c>
      <c r="I30" s="3"/>
      <c r="J30" s="9">
        <v>780.0</v>
      </c>
      <c r="K30" s="9">
        <v>780.0</v>
      </c>
      <c r="L30" s="3"/>
      <c r="M30" s="3"/>
      <c r="N30" s="8" t="s">
        <v>15</v>
      </c>
      <c r="O30" s="8" t="s">
        <v>15</v>
      </c>
      <c r="P30" s="8" t="s">
        <v>15</v>
      </c>
      <c r="Q30" s="8" t="s">
        <v>15</v>
      </c>
      <c r="R30" s="8" t="s">
        <v>15</v>
      </c>
      <c r="S30" s="8" t="s">
        <v>15</v>
      </c>
      <c r="T30" s="8" t="s">
        <v>15</v>
      </c>
      <c r="U30" s="8" t="s">
        <v>15</v>
      </c>
      <c r="V30" s="8" t="s">
        <v>15</v>
      </c>
      <c r="W30" s="8" t="s">
        <v>15</v>
      </c>
      <c r="X30" s="8" t="s">
        <v>15</v>
      </c>
      <c r="Y30" s="8" t="s">
        <v>15</v>
      </c>
      <c r="Z30" s="8" t="s">
        <v>15</v>
      </c>
      <c r="AA30" s="8" t="s">
        <v>15</v>
      </c>
      <c r="AB30" s="8" t="s">
        <v>15</v>
      </c>
      <c r="AC30" s="8" t="s">
        <v>15</v>
      </c>
      <c r="AD30" s="8" t="s">
        <v>15</v>
      </c>
      <c r="AE30" s="8" t="s">
        <v>15</v>
      </c>
      <c r="AF30" s="8" t="s">
        <v>15</v>
      </c>
      <c r="AG30" s="8" t="s">
        <v>15</v>
      </c>
      <c r="AH30" s="8" t="s">
        <v>15</v>
      </c>
      <c r="AI30" s="8" t="s">
        <v>15</v>
      </c>
      <c r="AJ30" s="8" t="s">
        <v>15</v>
      </c>
      <c r="AK30" s="8" t="s">
        <v>15</v>
      </c>
      <c r="AL30" s="8" t="s">
        <v>15</v>
      </c>
    </row>
    <row r="31">
      <c r="A31" s="3" t="s">
        <v>106</v>
      </c>
      <c r="B31" s="11" t="s">
        <v>107</v>
      </c>
      <c r="C31" s="3" t="s">
        <v>108</v>
      </c>
      <c r="D31" s="3" t="s">
        <v>4</v>
      </c>
      <c r="E31" s="4"/>
      <c r="F31" s="4"/>
      <c r="G31" s="3" t="s">
        <v>5</v>
      </c>
      <c r="H31" s="3" t="s">
        <v>6</v>
      </c>
      <c r="I31" s="3"/>
      <c r="J31" s="12">
        <v>5.0</v>
      </c>
      <c r="K31" s="12">
        <v>5.0</v>
      </c>
      <c r="L31" s="3"/>
      <c r="M31" s="3"/>
      <c r="N31" s="8" t="s">
        <v>15</v>
      </c>
      <c r="O31" s="8" t="s">
        <v>15</v>
      </c>
      <c r="P31" s="8" t="s">
        <v>15</v>
      </c>
      <c r="Q31" s="8" t="s">
        <v>15</v>
      </c>
      <c r="R31" s="8" t="s">
        <v>15</v>
      </c>
      <c r="S31" s="8" t="s">
        <v>15</v>
      </c>
      <c r="T31" s="8" t="s">
        <v>15</v>
      </c>
      <c r="U31" s="8" t="s">
        <v>15</v>
      </c>
      <c r="V31" s="8" t="s">
        <v>15</v>
      </c>
      <c r="W31" s="8" t="s">
        <v>15</v>
      </c>
      <c r="X31" s="8" t="s">
        <v>15</v>
      </c>
      <c r="Y31" s="8" t="s">
        <v>15</v>
      </c>
      <c r="Z31" s="8" t="s">
        <v>15</v>
      </c>
      <c r="AA31" s="8" t="s">
        <v>15</v>
      </c>
      <c r="AB31" s="8" t="s">
        <v>15</v>
      </c>
      <c r="AC31" s="8" t="s">
        <v>15</v>
      </c>
      <c r="AD31" s="8" t="s">
        <v>15</v>
      </c>
      <c r="AE31" s="8" t="s">
        <v>15</v>
      </c>
      <c r="AF31" s="8" t="s">
        <v>15</v>
      </c>
      <c r="AG31" s="8" t="s">
        <v>15</v>
      </c>
      <c r="AH31" s="8" t="s">
        <v>15</v>
      </c>
      <c r="AI31" s="8" t="s">
        <v>15</v>
      </c>
      <c r="AJ31" s="8" t="s">
        <v>15</v>
      </c>
      <c r="AK31" s="8" t="s">
        <v>15</v>
      </c>
      <c r="AL31" s="8" t="s">
        <v>15</v>
      </c>
    </row>
    <row r="32">
      <c r="A32" s="3" t="s">
        <v>109</v>
      </c>
      <c r="B32" s="3" t="s">
        <v>110</v>
      </c>
      <c r="C32" s="3" t="s">
        <v>111</v>
      </c>
      <c r="D32" s="3" t="s">
        <v>4</v>
      </c>
      <c r="E32" s="4"/>
      <c r="F32" s="4"/>
      <c r="G32" s="3" t="s">
        <v>5</v>
      </c>
      <c r="H32" s="3" t="s">
        <v>12</v>
      </c>
      <c r="I32" s="3"/>
      <c r="J32" s="9">
        <v>100.0</v>
      </c>
      <c r="K32" s="9">
        <v>100.0</v>
      </c>
      <c r="L32" s="3"/>
      <c r="M32" s="3"/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  <c r="T32" s="8" t="s">
        <v>15</v>
      </c>
      <c r="U32" s="8" t="s">
        <v>15</v>
      </c>
      <c r="V32" s="8" t="s">
        <v>15</v>
      </c>
      <c r="W32" s="8" t="s">
        <v>15</v>
      </c>
      <c r="X32" s="8" t="s">
        <v>15</v>
      </c>
      <c r="Y32" s="8" t="s">
        <v>15</v>
      </c>
      <c r="Z32" s="8" t="s">
        <v>15</v>
      </c>
      <c r="AA32" s="8" t="s">
        <v>15</v>
      </c>
      <c r="AB32" s="8" t="s">
        <v>15</v>
      </c>
      <c r="AC32" s="8" t="s">
        <v>15</v>
      </c>
      <c r="AD32" s="8" t="s">
        <v>15</v>
      </c>
      <c r="AE32" s="8" t="s">
        <v>15</v>
      </c>
      <c r="AF32" s="8" t="s">
        <v>15</v>
      </c>
      <c r="AG32" s="8" t="s">
        <v>15</v>
      </c>
      <c r="AH32" s="8" t="s">
        <v>15</v>
      </c>
      <c r="AI32" s="8" t="s">
        <v>15</v>
      </c>
      <c r="AJ32" s="8" t="s">
        <v>15</v>
      </c>
      <c r="AK32" s="8" t="s">
        <v>15</v>
      </c>
      <c r="AL32" s="8" t="s">
        <v>15</v>
      </c>
    </row>
    <row r="33">
      <c r="A33" s="3" t="s">
        <v>112</v>
      </c>
      <c r="B33" s="3" t="s">
        <v>113</v>
      </c>
      <c r="C33" s="3" t="s">
        <v>114</v>
      </c>
      <c r="D33" s="3" t="s">
        <v>4</v>
      </c>
      <c r="E33" s="4"/>
      <c r="F33" s="4"/>
      <c r="G33" s="3" t="s">
        <v>5</v>
      </c>
      <c r="H33" s="3" t="s">
        <v>6</v>
      </c>
      <c r="I33" s="3"/>
      <c r="J33" s="5"/>
      <c r="K33" s="5">
        <v>800.0</v>
      </c>
      <c r="L33" s="3"/>
      <c r="M33" s="3"/>
      <c r="N33" s="8" t="s">
        <v>15</v>
      </c>
      <c r="O33" s="8" t="s">
        <v>15</v>
      </c>
      <c r="P33" s="8" t="s">
        <v>15</v>
      </c>
      <c r="Q33" s="8" t="s">
        <v>15</v>
      </c>
      <c r="R33" s="8" t="s">
        <v>15</v>
      </c>
      <c r="S33" s="8" t="s">
        <v>15</v>
      </c>
      <c r="T33" s="8" t="s">
        <v>15</v>
      </c>
      <c r="U33" s="8" t="s">
        <v>15</v>
      </c>
      <c r="V33" s="8" t="s">
        <v>15</v>
      </c>
      <c r="W33" s="8" t="s">
        <v>15</v>
      </c>
      <c r="X33" s="8" t="s">
        <v>15</v>
      </c>
      <c r="Y33" s="8" t="s">
        <v>15</v>
      </c>
      <c r="Z33" s="8" t="s">
        <v>15</v>
      </c>
      <c r="AA33" s="8" t="s">
        <v>15</v>
      </c>
      <c r="AB33" s="8" t="s">
        <v>15</v>
      </c>
      <c r="AC33" s="8" t="s">
        <v>15</v>
      </c>
      <c r="AD33" s="8" t="s">
        <v>15</v>
      </c>
      <c r="AE33" s="8" t="s">
        <v>15</v>
      </c>
      <c r="AF33" s="8" t="s">
        <v>15</v>
      </c>
      <c r="AG33" s="8" t="s">
        <v>15</v>
      </c>
      <c r="AH33" s="8" t="s">
        <v>15</v>
      </c>
      <c r="AI33" s="8" t="s">
        <v>15</v>
      </c>
      <c r="AJ33" s="8" t="s">
        <v>15</v>
      </c>
      <c r="AK33" s="8" t="s">
        <v>15</v>
      </c>
      <c r="AL33" s="8" t="s">
        <v>15</v>
      </c>
    </row>
    <row r="34">
      <c r="A34" s="3" t="s">
        <v>115</v>
      </c>
      <c r="B34" s="3" t="s">
        <v>116</v>
      </c>
      <c r="C34" s="3" t="s">
        <v>117</v>
      </c>
      <c r="D34" s="3" t="s">
        <v>4</v>
      </c>
      <c r="E34" s="4"/>
      <c r="F34" s="4"/>
      <c r="G34" s="3" t="s">
        <v>5</v>
      </c>
      <c r="H34" s="3" t="s">
        <v>12</v>
      </c>
      <c r="I34" s="3"/>
      <c r="J34" s="9">
        <v>310.0</v>
      </c>
      <c r="K34" s="9">
        <v>310.0</v>
      </c>
      <c r="L34" s="3"/>
      <c r="M34" s="3"/>
      <c r="N34" s="8" t="s">
        <v>15</v>
      </c>
      <c r="O34" s="8" t="s">
        <v>15</v>
      </c>
      <c r="P34" s="8" t="s">
        <v>15</v>
      </c>
      <c r="Q34" s="8" t="s">
        <v>15</v>
      </c>
      <c r="R34" s="8" t="s">
        <v>15</v>
      </c>
      <c r="S34" s="8" t="s">
        <v>15</v>
      </c>
      <c r="T34" s="8" t="s">
        <v>15</v>
      </c>
      <c r="U34" s="8" t="s">
        <v>15</v>
      </c>
      <c r="V34" s="8" t="s">
        <v>15</v>
      </c>
      <c r="W34" s="8" t="s">
        <v>15</v>
      </c>
      <c r="X34" s="8" t="s">
        <v>15</v>
      </c>
      <c r="Y34" s="8" t="s">
        <v>15</v>
      </c>
      <c r="Z34" s="8" t="s">
        <v>15</v>
      </c>
      <c r="AA34" s="8" t="s">
        <v>15</v>
      </c>
      <c r="AB34" s="8" t="s">
        <v>15</v>
      </c>
      <c r="AC34" s="8" t="s">
        <v>15</v>
      </c>
      <c r="AD34" s="8" t="s">
        <v>15</v>
      </c>
      <c r="AE34" s="8" t="s">
        <v>15</v>
      </c>
      <c r="AF34" s="8" t="s">
        <v>15</v>
      </c>
      <c r="AG34" s="8" t="s">
        <v>15</v>
      </c>
      <c r="AH34" s="8" t="s">
        <v>15</v>
      </c>
      <c r="AI34" s="8" t="s">
        <v>15</v>
      </c>
      <c r="AJ34" s="8" t="s">
        <v>15</v>
      </c>
      <c r="AK34" s="8" t="s">
        <v>15</v>
      </c>
      <c r="AL34" s="8" t="s">
        <v>15</v>
      </c>
    </row>
    <row r="35">
      <c r="A35" s="3" t="s">
        <v>118</v>
      </c>
      <c r="B35" s="3" t="s">
        <v>119</v>
      </c>
      <c r="C35" s="3" t="s">
        <v>120</v>
      </c>
      <c r="D35" s="3" t="s">
        <v>4</v>
      </c>
      <c r="E35" s="4"/>
      <c r="F35" s="4"/>
      <c r="G35" s="3" t="s">
        <v>5</v>
      </c>
      <c r="H35" s="3" t="s">
        <v>6</v>
      </c>
      <c r="I35" s="3"/>
      <c r="J35" s="5">
        <v>3.0</v>
      </c>
      <c r="K35" s="5">
        <v>3.0</v>
      </c>
      <c r="L35" s="3"/>
      <c r="M35" s="3"/>
      <c r="N35" s="8" t="s">
        <v>15</v>
      </c>
      <c r="O35" s="8" t="s">
        <v>15</v>
      </c>
      <c r="P35" s="8" t="s">
        <v>15</v>
      </c>
      <c r="Q35" s="8" t="s">
        <v>15</v>
      </c>
      <c r="R35" s="8" t="s">
        <v>15</v>
      </c>
      <c r="S35" s="8" t="s">
        <v>15</v>
      </c>
      <c r="T35" s="8" t="s">
        <v>15</v>
      </c>
      <c r="U35" s="8" t="s">
        <v>15</v>
      </c>
      <c r="V35" s="8" t="s">
        <v>15</v>
      </c>
      <c r="W35" s="8" t="s">
        <v>15</v>
      </c>
      <c r="X35" s="8" t="s">
        <v>15</v>
      </c>
      <c r="Y35" s="8" t="s">
        <v>15</v>
      </c>
      <c r="Z35" s="8" t="s">
        <v>15</v>
      </c>
      <c r="AA35" s="8" t="s">
        <v>15</v>
      </c>
      <c r="AB35" s="8" t="s">
        <v>15</v>
      </c>
      <c r="AC35" s="8" t="s">
        <v>15</v>
      </c>
      <c r="AD35" s="8" t="s">
        <v>15</v>
      </c>
      <c r="AE35" s="8" t="s">
        <v>15</v>
      </c>
      <c r="AF35" s="8" t="s">
        <v>15</v>
      </c>
      <c r="AG35" s="8" t="s">
        <v>15</v>
      </c>
      <c r="AH35" s="8" t="s">
        <v>15</v>
      </c>
      <c r="AI35" s="8" t="s">
        <v>15</v>
      </c>
      <c r="AJ35" s="8" t="s">
        <v>15</v>
      </c>
      <c r="AK35" s="8" t="s">
        <v>15</v>
      </c>
      <c r="AL35" s="8" t="s">
        <v>15</v>
      </c>
    </row>
    <row r="36">
      <c r="A36" s="3" t="s">
        <v>121</v>
      </c>
      <c r="B36" s="3" t="s">
        <v>122</v>
      </c>
      <c r="C36" s="3" t="s">
        <v>123</v>
      </c>
      <c r="D36" s="3" t="s">
        <v>4</v>
      </c>
      <c r="E36" s="4"/>
      <c r="F36" s="4"/>
      <c r="G36" s="3" t="s">
        <v>5</v>
      </c>
      <c r="H36" s="3" t="s">
        <v>6</v>
      </c>
      <c r="I36" s="3"/>
      <c r="J36" s="5">
        <v>10.0</v>
      </c>
      <c r="K36" s="5">
        <v>10.0</v>
      </c>
      <c r="L36" s="3"/>
      <c r="M36" s="3"/>
      <c r="N36" s="8" t="s">
        <v>15</v>
      </c>
      <c r="O36" s="8" t="s">
        <v>15</v>
      </c>
      <c r="P36" s="8" t="s">
        <v>15</v>
      </c>
      <c r="Q36" s="8" t="s">
        <v>15</v>
      </c>
      <c r="R36" s="8" t="s">
        <v>15</v>
      </c>
      <c r="S36" s="8" t="s">
        <v>15</v>
      </c>
      <c r="T36" s="8" t="s">
        <v>15</v>
      </c>
      <c r="U36" s="8" t="s">
        <v>15</v>
      </c>
      <c r="V36" s="8" t="s">
        <v>15</v>
      </c>
      <c r="W36" s="8" t="s">
        <v>15</v>
      </c>
      <c r="X36" s="8" t="s">
        <v>15</v>
      </c>
      <c r="Y36" s="8" t="s">
        <v>15</v>
      </c>
      <c r="Z36" s="8" t="s">
        <v>15</v>
      </c>
      <c r="AA36" s="8" t="s">
        <v>15</v>
      </c>
      <c r="AB36" s="8" t="s">
        <v>15</v>
      </c>
      <c r="AC36" s="8" t="s">
        <v>15</v>
      </c>
      <c r="AD36" s="8" t="s">
        <v>15</v>
      </c>
      <c r="AE36" s="8" t="s">
        <v>15</v>
      </c>
      <c r="AF36" s="8" t="s">
        <v>15</v>
      </c>
      <c r="AG36" s="8" t="s">
        <v>15</v>
      </c>
      <c r="AH36" s="8" t="s">
        <v>15</v>
      </c>
      <c r="AI36" s="8" t="s">
        <v>15</v>
      </c>
      <c r="AJ36" s="8" t="s">
        <v>15</v>
      </c>
      <c r="AK36" s="8" t="s">
        <v>15</v>
      </c>
      <c r="AL36" s="8" t="s">
        <v>15</v>
      </c>
    </row>
    <row r="37">
      <c r="A37" s="3" t="s">
        <v>124</v>
      </c>
      <c r="B37" s="3" t="s">
        <v>125</v>
      </c>
      <c r="C37" s="3" t="s">
        <v>126</v>
      </c>
      <c r="D37" s="3" t="s">
        <v>4</v>
      </c>
      <c r="E37" s="4"/>
      <c r="F37" s="4"/>
      <c r="G37" s="3" t="s">
        <v>5</v>
      </c>
      <c r="H37" s="3" t="s">
        <v>12</v>
      </c>
      <c r="I37" s="3"/>
      <c r="J37" s="9">
        <v>160.0</v>
      </c>
      <c r="K37" s="9">
        <v>160.0</v>
      </c>
      <c r="L37" s="3"/>
      <c r="M37" s="3"/>
      <c r="N37" s="8" t="s">
        <v>15</v>
      </c>
      <c r="O37" s="8" t="s">
        <v>15</v>
      </c>
      <c r="P37" s="8" t="s">
        <v>15</v>
      </c>
      <c r="Q37" s="8" t="s">
        <v>15</v>
      </c>
      <c r="R37" s="8" t="s">
        <v>15</v>
      </c>
      <c r="S37" s="8" t="s">
        <v>15</v>
      </c>
      <c r="T37" s="8" t="s">
        <v>15</v>
      </c>
      <c r="U37" s="8" t="s">
        <v>15</v>
      </c>
      <c r="V37" s="8" t="s">
        <v>15</v>
      </c>
      <c r="W37" s="8" t="s">
        <v>15</v>
      </c>
      <c r="X37" s="8" t="s">
        <v>15</v>
      </c>
      <c r="Y37" s="8" t="s">
        <v>15</v>
      </c>
      <c r="Z37" s="8" t="s">
        <v>15</v>
      </c>
      <c r="AA37" s="8" t="s">
        <v>15</v>
      </c>
      <c r="AB37" s="8" t="s">
        <v>15</v>
      </c>
      <c r="AC37" s="8" t="s">
        <v>15</v>
      </c>
      <c r="AD37" s="8" t="s">
        <v>15</v>
      </c>
      <c r="AE37" s="8" t="s">
        <v>15</v>
      </c>
      <c r="AF37" s="8" t="s">
        <v>15</v>
      </c>
      <c r="AG37" s="8" t="s">
        <v>15</v>
      </c>
      <c r="AH37" s="8" t="s">
        <v>15</v>
      </c>
      <c r="AI37" s="8" t="s">
        <v>15</v>
      </c>
      <c r="AJ37" s="8" t="s">
        <v>15</v>
      </c>
      <c r="AK37" s="8" t="s">
        <v>15</v>
      </c>
      <c r="AL37" s="8" t="s">
        <v>15</v>
      </c>
    </row>
    <row r="38">
      <c r="A38" s="3" t="s">
        <v>127</v>
      </c>
      <c r="B38" s="3" t="s">
        <v>128</v>
      </c>
      <c r="C38" s="3" t="s">
        <v>129</v>
      </c>
      <c r="D38" s="3" t="s">
        <v>4</v>
      </c>
      <c r="E38" s="4"/>
      <c r="F38" s="4"/>
      <c r="G38" s="3" t="s">
        <v>5</v>
      </c>
      <c r="H38" s="3" t="s">
        <v>6</v>
      </c>
      <c r="I38" s="3"/>
      <c r="J38" s="5">
        <v>170.0</v>
      </c>
      <c r="K38" s="5">
        <v>165.0</v>
      </c>
      <c r="L38" s="3"/>
      <c r="M38" s="3"/>
      <c r="N38" s="8" t="s">
        <v>15</v>
      </c>
      <c r="O38" s="8" t="s">
        <v>15</v>
      </c>
      <c r="P38" s="8" t="s">
        <v>15</v>
      </c>
      <c r="Q38" s="8" t="s">
        <v>15</v>
      </c>
      <c r="R38" s="8" t="s">
        <v>15</v>
      </c>
      <c r="S38" s="8" t="s">
        <v>15</v>
      </c>
      <c r="T38" s="8" t="s">
        <v>15</v>
      </c>
      <c r="U38" s="8" t="s">
        <v>15</v>
      </c>
      <c r="V38" s="8" t="s">
        <v>15</v>
      </c>
      <c r="W38" s="8" t="s">
        <v>15</v>
      </c>
      <c r="X38" s="8" t="s">
        <v>15</v>
      </c>
      <c r="Y38" s="8" t="s">
        <v>15</v>
      </c>
      <c r="Z38" s="8" t="s">
        <v>15</v>
      </c>
      <c r="AA38" s="8" t="s">
        <v>15</v>
      </c>
      <c r="AB38" s="8" t="s">
        <v>15</v>
      </c>
      <c r="AC38" s="8" t="s">
        <v>15</v>
      </c>
      <c r="AD38" s="8" t="s">
        <v>15</v>
      </c>
      <c r="AE38" s="8" t="s">
        <v>15</v>
      </c>
      <c r="AF38" s="8" t="s">
        <v>15</v>
      </c>
      <c r="AG38" s="8" t="s">
        <v>15</v>
      </c>
      <c r="AH38" s="8" t="s">
        <v>15</v>
      </c>
      <c r="AI38" s="8" t="s">
        <v>15</v>
      </c>
      <c r="AJ38" s="8" t="s">
        <v>15</v>
      </c>
      <c r="AK38" s="8" t="s">
        <v>15</v>
      </c>
      <c r="AL38" s="8" t="s">
        <v>15</v>
      </c>
    </row>
    <row r="39">
      <c r="A39" s="3" t="s">
        <v>130</v>
      </c>
      <c r="B39" s="3" t="s">
        <v>131</v>
      </c>
      <c r="C39" s="3" t="s">
        <v>132</v>
      </c>
      <c r="D39" s="13" t="s">
        <v>4</v>
      </c>
      <c r="E39" s="3"/>
      <c r="F39" s="4"/>
      <c r="G39" s="3" t="s">
        <v>133</v>
      </c>
      <c r="I39" s="3"/>
      <c r="J39" s="14">
        <v>3.0</v>
      </c>
      <c r="K39" s="5">
        <v>3.0</v>
      </c>
      <c r="L39" s="3" t="s">
        <v>39</v>
      </c>
      <c r="M39" s="3"/>
      <c r="N39" s="8" t="s">
        <v>15</v>
      </c>
      <c r="O39" s="8" t="s">
        <v>15</v>
      </c>
      <c r="P39" s="8" t="s">
        <v>15</v>
      </c>
      <c r="Q39" s="8" t="s">
        <v>15</v>
      </c>
      <c r="R39" s="8" t="s">
        <v>15</v>
      </c>
      <c r="S39" s="8" t="s">
        <v>15</v>
      </c>
      <c r="T39" s="8" t="s">
        <v>15</v>
      </c>
      <c r="U39" s="8" t="s">
        <v>15</v>
      </c>
      <c r="V39" s="8" t="s">
        <v>15</v>
      </c>
      <c r="W39" s="8" t="s">
        <v>15</v>
      </c>
      <c r="X39" s="8" t="s">
        <v>15</v>
      </c>
      <c r="Y39" s="8" t="s">
        <v>15</v>
      </c>
      <c r="Z39" s="8" t="s">
        <v>15</v>
      </c>
      <c r="AA39" s="8" t="s">
        <v>15</v>
      </c>
      <c r="AB39" s="8" t="s">
        <v>15</v>
      </c>
      <c r="AC39" s="8" t="s">
        <v>15</v>
      </c>
      <c r="AD39" s="8" t="s">
        <v>15</v>
      </c>
      <c r="AE39" s="8" t="s">
        <v>15</v>
      </c>
      <c r="AF39" s="8" t="s">
        <v>15</v>
      </c>
      <c r="AG39" s="8" t="s">
        <v>15</v>
      </c>
      <c r="AH39" s="8" t="s">
        <v>15</v>
      </c>
      <c r="AI39" s="8" t="s">
        <v>15</v>
      </c>
      <c r="AJ39" s="8" t="s">
        <v>15</v>
      </c>
      <c r="AK39" s="8" t="s">
        <v>15</v>
      </c>
      <c r="AL39" s="8" t="s">
        <v>15</v>
      </c>
    </row>
    <row r="40">
      <c r="A40" s="3" t="s">
        <v>134</v>
      </c>
      <c r="B40" s="3" t="s">
        <v>135</v>
      </c>
      <c r="C40" s="3" t="s">
        <v>136</v>
      </c>
      <c r="D40" s="3" t="s">
        <v>4</v>
      </c>
      <c r="E40" s="4"/>
      <c r="F40" s="4"/>
      <c r="G40" s="3" t="s">
        <v>5</v>
      </c>
      <c r="H40" s="3" t="s">
        <v>6</v>
      </c>
      <c r="I40" s="3"/>
      <c r="J40" s="5">
        <v>10.0</v>
      </c>
      <c r="K40" s="5">
        <v>10.0</v>
      </c>
      <c r="L40" s="3"/>
      <c r="M40" s="3"/>
      <c r="N40" s="8" t="s">
        <v>15</v>
      </c>
      <c r="O40" s="8" t="s">
        <v>15</v>
      </c>
      <c r="P40" s="8" t="s">
        <v>15</v>
      </c>
      <c r="Q40" s="8" t="s">
        <v>15</v>
      </c>
      <c r="R40" s="8" t="s">
        <v>15</v>
      </c>
      <c r="S40" s="8" t="s">
        <v>15</v>
      </c>
      <c r="T40" s="8" t="s">
        <v>15</v>
      </c>
      <c r="U40" s="8" t="s">
        <v>15</v>
      </c>
      <c r="V40" s="8" t="s">
        <v>15</v>
      </c>
      <c r="W40" s="8" t="s">
        <v>15</v>
      </c>
      <c r="X40" s="8" t="s">
        <v>15</v>
      </c>
      <c r="Y40" s="8" t="s">
        <v>15</v>
      </c>
      <c r="Z40" s="8" t="s">
        <v>15</v>
      </c>
      <c r="AA40" s="8" t="s">
        <v>15</v>
      </c>
      <c r="AB40" s="8" t="s">
        <v>15</v>
      </c>
      <c r="AC40" s="8" t="s">
        <v>15</v>
      </c>
      <c r="AD40" s="8" t="s">
        <v>15</v>
      </c>
      <c r="AE40" s="8" t="s">
        <v>15</v>
      </c>
      <c r="AF40" s="8" t="s">
        <v>15</v>
      </c>
      <c r="AG40" s="8" t="s">
        <v>15</v>
      </c>
      <c r="AH40" s="8" t="s">
        <v>15</v>
      </c>
      <c r="AI40" s="8" t="s">
        <v>15</v>
      </c>
      <c r="AJ40" s="8" t="s">
        <v>15</v>
      </c>
      <c r="AK40" s="8" t="s">
        <v>15</v>
      </c>
      <c r="AL40" s="8" t="s">
        <v>15</v>
      </c>
    </row>
    <row r="41">
      <c r="A41" s="3" t="s">
        <v>137</v>
      </c>
      <c r="B41" s="3" t="s">
        <v>138</v>
      </c>
      <c r="C41" s="3" t="s">
        <v>139</v>
      </c>
      <c r="D41" s="3" t="s">
        <v>4</v>
      </c>
      <c r="E41" s="4"/>
      <c r="F41" s="4"/>
      <c r="G41" s="3" t="s">
        <v>5</v>
      </c>
      <c r="H41" s="3" t="s">
        <v>12</v>
      </c>
      <c r="I41" s="3"/>
      <c r="J41" s="9">
        <v>120.0</v>
      </c>
      <c r="K41" s="9">
        <v>115.0</v>
      </c>
      <c r="L41" s="3"/>
      <c r="M41" s="3"/>
      <c r="N41" s="8" t="s">
        <v>15</v>
      </c>
      <c r="O41" s="8" t="s">
        <v>15</v>
      </c>
      <c r="P41" s="8" t="s">
        <v>15</v>
      </c>
      <c r="Q41" s="8" t="s">
        <v>15</v>
      </c>
      <c r="R41" s="8" t="s">
        <v>15</v>
      </c>
      <c r="S41" s="8" t="s">
        <v>15</v>
      </c>
      <c r="T41" s="8" t="s">
        <v>15</v>
      </c>
      <c r="U41" s="8" t="s">
        <v>15</v>
      </c>
      <c r="V41" s="8" t="s">
        <v>15</v>
      </c>
      <c r="W41" s="8" t="s">
        <v>15</v>
      </c>
      <c r="X41" s="8" t="s">
        <v>15</v>
      </c>
      <c r="Y41" s="8" t="s">
        <v>15</v>
      </c>
      <c r="Z41" s="8" t="s">
        <v>15</v>
      </c>
      <c r="AA41" s="8" t="s">
        <v>15</v>
      </c>
      <c r="AB41" s="8" t="s">
        <v>15</v>
      </c>
      <c r="AC41" s="8" t="s">
        <v>15</v>
      </c>
      <c r="AD41" s="8" t="s">
        <v>15</v>
      </c>
      <c r="AE41" s="8" t="s">
        <v>15</v>
      </c>
      <c r="AF41" s="8" t="s">
        <v>15</v>
      </c>
      <c r="AG41" s="8" t="s">
        <v>15</v>
      </c>
      <c r="AH41" s="8" t="s">
        <v>15</v>
      </c>
      <c r="AI41" s="8" t="s">
        <v>15</v>
      </c>
      <c r="AJ41" s="8" t="s">
        <v>15</v>
      </c>
      <c r="AK41" s="8" t="s">
        <v>15</v>
      </c>
      <c r="AL41" s="8" t="s">
        <v>15</v>
      </c>
    </row>
    <row r="42">
      <c r="A42" s="15" t="s">
        <v>15</v>
      </c>
      <c r="B42" s="3" t="s">
        <v>140</v>
      </c>
      <c r="C42" s="15" t="s">
        <v>15</v>
      </c>
      <c r="D42" s="15" t="s">
        <v>15</v>
      </c>
      <c r="E42" s="15" t="s">
        <v>15</v>
      </c>
      <c r="F42" s="15" t="s">
        <v>15</v>
      </c>
      <c r="G42" s="15" t="s">
        <v>15</v>
      </c>
      <c r="H42" s="15" t="s">
        <v>15</v>
      </c>
      <c r="I42" s="15" t="s">
        <v>15</v>
      </c>
      <c r="J42" s="5"/>
      <c r="K42" s="5">
        <v>85.0</v>
      </c>
      <c r="L42" s="15" t="s">
        <v>15</v>
      </c>
      <c r="M42" s="15" t="s">
        <v>15</v>
      </c>
      <c r="N42" s="15" t="s">
        <v>15</v>
      </c>
      <c r="O42" s="15" t="s">
        <v>15</v>
      </c>
      <c r="P42" s="15" t="s">
        <v>15</v>
      </c>
      <c r="Q42" s="15" t="s">
        <v>15</v>
      </c>
      <c r="R42" s="15" t="s">
        <v>15</v>
      </c>
      <c r="S42" s="15" t="s">
        <v>15</v>
      </c>
      <c r="T42" s="15" t="s">
        <v>15</v>
      </c>
      <c r="U42" s="15" t="s">
        <v>15</v>
      </c>
      <c r="V42" s="15" t="s">
        <v>15</v>
      </c>
      <c r="W42" s="15" t="s">
        <v>15</v>
      </c>
      <c r="X42" s="15" t="s">
        <v>15</v>
      </c>
      <c r="Y42" s="15" t="s">
        <v>15</v>
      </c>
      <c r="Z42" s="15" t="s">
        <v>15</v>
      </c>
      <c r="AA42" s="15" t="s">
        <v>15</v>
      </c>
      <c r="AB42" s="15" t="s">
        <v>15</v>
      </c>
      <c r="AC42" s="15" t="s">
        <v>15</v>
      </c>
      <c r="AD42" s="15" t="s">
        <v>15</v>
      </c>
      <c r="AE42" s="15" t="s">
        <v>15</v>
      </c>
      <c r="AF42" s="15" t="s">
        <v>15</v>
      </c>
      <c r="AG42" s="15" t="s">
        <v>15</v>
      </c>
      <c r="AH42" s="15" t="s">
        <v>15</v>
      </c>
      <c r="AI42" s="15" t="s">
        <v>15</v>
      </c>
      <c r="AJ42" s="15" t="s">
        <v>15</v>
      </c>
      <c r="AK42" s="15" t="s">
        <v>15</v>
      </c>
      <c r="AL42" s="15" t="s">
        <v>15</v>
      </c>
    </row>
    <row r="43">
      <c r="A43" s="15" t="s">
        <v>15</v>
      </c>
      <c r="B43" s="3" t="s">
        <v>141</v>
      </c>
      <c r="C43" s="15" t="s">
        <v>15</v>
      </c>
      <c r="D43" s="15" t="s">
        <v>15</v>
      </c>
      <c r="E43" s="15" t="s">
        <v>15</v>
      </c>
      <c r="F43" s="15" t="s">
        <v>15</v>
      </c>
      <c r="G43" s="15" t="s">
        <v>15</v>
      </c>
      <c r="H43" s="15" t="s">
        <v>15</v>
      </c>
      <c r="I43" s="15" t="s">
        <v>15</v>
      </c>
      <c r="J43" s="5">
        <v>4.0</v>
      </c>
      <c r="K43" s="5">
        <v>4.0</v>
      </c>
      <c r="L43" s="15" t="s">
        <v>15</v>
      </c>
      <c r="M43" s="15" t="s">
        <v>15</v>
      </c>
      <c r="N43" s="15" t="s">
        <v>15</v>
      </c>
      <c r="O43" s="15" t="s">
        <v>15</v>
      </c>
      <c r="P43" s="15" t="s">
        <v>15</v>
      </c>
      <c r="Q43" s="15" t="s">
        <v>15</v>
      </c>
      <c r="R43" s="15" t="s">
        <v>15</v>
      </c>
      <c r="S43" s="15" t="s">
        <v>15</v>
      </c>
      <c r="T43" s="15" t="s">
        <v>15</v>
      </c>
      <c r="U43" s="15" t="s">
        <v>15</v>
      </c>
      <c r="V43" s="15" t="s">
        <v>15</v>
      </c>
      <c r="W43" s="15" t="s">
        <v>15</v>
      </c>
      <c r="X43" s="15" t="s">
        <v>15</v>
      </c>
      <c r="Y43" s="15" t="s">
        <v>15</v>
      </c>
      <c r="Z43" s="15" t="s">
        <v>15</v>
      </c>
      <c r="AA43" s="15" t="s">
        <v>15</v>
      </c>
      <c r="AB43" s="15" t="s">
        <v>15</v>
      </c>
      <c r="AC43" s="15" t="s">
        <v>15</v>
      </c>
      <c r="AD43" s="15" t="s">
        <v>15</v>
      </c>
      <c r="AE43" s="15" t="s">
        <v>15</v>
      </c>
      <c r="AF43" s="15" t="s">
        <v>15</v>
      </c>
      <c r="AG43" s="15" t="s">
        <v>15</v>
      </c>
      <c r="AH43" s="15" t="s">
        <v>15</v>
      </c>
      <c r="AI43" s="15" t="s">
        <v>15</v>
      </c>
      <c r="AJ43" s="15" t="s">
        <v>15</v>
      </c>
      <c r="AK43" s="15" t="s">
        <v>15</v>
      </c>
      <c r="AL43" s="15" t="s">
        <v>15</v>
      </c>
    </row>
    <row r="44">
      <c r="A44" s="15" t="s">
        <v>15</v>
      </c>
      <c r="B44" s="3" t="s">
        <v>142</v>
      </c>
      <c r="C44" s="15" t="s">
        <v>15</v>
      </c>
      <c r="D44" s="15" t="s">
        <v>15</v>
      </c>
      <c r="E44" s="15" t="s">
        <v>15</v>
      </c>
      <c r="F44" s="15" t="s">
        <v>15</v>
      </c>
      <c r="G44" s="15" t="s">
        <v>15</v>
      </c>
      <c r="H44" s="15" t="s">
        <v>15</v>
      </c>
      <c r="I44" s="15" t="s">
        <v>15</v>
      </c>
      <c r="J44" s="5">
        <v>60.0</v>
      </c>
      <c r="K44" s="5">
        <v>60.0</v>
      </c>
      <c r="L44" s="15" t="s">
        <v>15</v>
      </c>
      <c r="M44" s="15" t="s">
        <v>15</v>
      </c>
      <c r="N44" s="15" t="s">
        <v>15</v>
      </c>
      <c r="O44" s="15" t="s">
        <v>15</v>
      </c>
      <c r="P44" s="15" t="s">
        <v>15</v>
      </c>
      <c r="Q44" s="15" t="s">
        <v>15</v>
      </c>
      <c r="R44" s="15" t="s">
        <v>15</v>
      </c>
      <c r="S44" s="15" t="s">
        <v>15</v>
      </c>
      <c r="T44" s="15" t="s">
        <v>15</v>
      </c>
      <c r="U44" s="15" t="s">
        <v>15</v>
      </c>
      <c r="V44" s="15" t="s">
        <v>15</v>
      </c>
      <c r="W44" s="15" t="s">
        <v>15</v>
      </c>
      <c r="X44" s="15" t="s">
        <v>15</v>
      </c>
      <c r="Y44" s="15" t="s">
        <v>15</v>
      </c>
      <c r="Z44" s="15" t="s">
        <v>15</v>
      </c>
      <c r="AA44" s="15" t="s">
        <v>15</v>
      </c>
      <c r="AB44" s="15" t="s">
        <v>15</v>
      </c>
      <c r="AC44" s="15" t="s">
        <v>15</v>
      </c>
      <c r="AD44" s="15" t="s">
        <v>15</v>
      </c>
      <c r="AE44" s="15" t="s">
        <v>15</v>
      </c>
      <c r="AF44" s="15" t="s">
        <v>15</v>
      </c>
      <c r="AG44" s="15" t="s">
        <v>15</v>
      </c>
      <c r="AH44" s="15" t="s">
        <v>15</v>
      </c>
      <c r="AI44" s="15" t="s">
        <v>15</v>
      </c>
      <c r="AJ44" s="15" t="s">
        <v>15</v>
      </c>
      <c r="AK44" s="15" t="s">
        <v>15</v>
      </c>
      <c r="AL44" s="15" t="s">
        <v>15</v>
      </c>
    </row>
    <row r="45">
      <c r="A45" s="15" t="s">
        <v>15</v>
      </c>
      <c r="B45" s="3" t="s">
        <v>143</v>
      </c>
      <c r="C45" s="15" t="s">
        <v>15</v>
      </c>
      <c r="D45" s="15" t="s">
        <v>15</v>
      </c>
      <c r="E45" s="15" t="s">
        <v>15</v>
      </c>
      <c r="F45" s="15" t="s">
        <v>15</v>
      </c>
      <c r="G45" s="15" t="s">
        <v>15</v>
      </c>
      <c r="H45" s="15" t="s">
        <v>15</v>
      </c>
      <c r="I45" s="15" t="s">
        <v>15</v>
      </c>
      <c r="J45" s="5">
        <v>10.0</v>
      </c>
      <c r="K45" s="5">
        <v>10.0</v>
      </c>
      <c r="L45" s="15" t="s">
        <v>15</v>
      </c>
      <c r="M45" s="15" t="s">
        <v>15</v>
      </c>
      <c r="N45" s="15" t="s">
        <v>15</v>
      </c>
      <c r="O45" s="15" t="s">
        <v>15</v>
      </c>
      <c r="P45" s="15" t="s">
        <v>15</v>
      </c>
      <c r="Q45" s="15" t="s">
        <v>15</v>
      </c>
      <c r="R45" s="15" t="s">
        <v>15</v>
      </c>
      <c r="S45" s="15" t="s">
        <v>15</v>
      </c>
      <c r="T45" s="15" t="s">
        <v>15</v>
      </c>
      <c r="U45" s="15" t="s">
        <v>15</v>
      </c>
      <c r="V45" s="15" t="s">
        <v>15</v>
      </c>
      <c r="W45" s="15" t="s">
        <v>15</v>
      </c>
      <c r="X45" s="15" t="s">
        <v>15</v>
      </c>
      <c r="Y45" s="15" t="s">
        <v>15</v>
      </c>
      <c r="Z45" s="15" t="s">
        <v>15</v>
      </c>
      <c r="AA45" s="15" t="s">
        <v>15</v>
      </c>
      <c r="AB45" s="15" t="s">
        <v>15</v>
      </c>
      <c r="AC45" s="15" t="s">
        <v>15</v>
      </c>
      <c r="AD45" s="15" t="s">
        <v>15</v>
      </c>
      <c r="AE45" s="15" t="s">
        <v>15</v>
      </c>
      <c r="AF45" s="15" t="s">
        <v>15</v>
      </c>
      <c r="AG45" s="15" t="s">
        <v>15</v>
      </c>
      <c r="AH45" s="15" t="s">
        <v>15</v>
      </c>
      <c r="AI45" s="15" t="s">
        <v>15</v>
      </c>
      <c r="AJ45" s="15" t="s">
        <v>15</v>
      </c>
      <c r="AK45" s="15" t="s">
        <v>15</v>
      </c>
      <c r="AL45" s="15" t="s">
        <v>15</v>
      </c>
    </row>
    <row r="46">
      <c r="A46" s="15" t="s">
        <v>15</v>
      </c>
      <c r="B46" s="3" t="s">
        <v>144</v>
      </c>
      <c r="C46" s="15" t="s">
        <v>15</v>
      </c>
      <c r="D46" s="15" t="s">
        <v>15</v>
      </c>
      <c r="E46" s="15" t="s">
        <v>15</v>
      </c>
      <c r="F46" s="15" t="s">
        <v>15</v>
      </c>
      <c r="G46" s="15" t="s">
        <v>15</v>
      </c>
      <c r="H46" s="15" t="s">
        <v>15</v>
      </c>
      <c r="I46" s="15" t="s">
        <v>15</v>
      </c>
      <c r="J46" s="5">
        <v>270.0</v>
      </c>
      <c r="K46" s="5">
        <v>260.0</v>
      </c>
      <c r="L46" s="15" t="s">
        <v>15</v>
      </c>
      <c r="M46" s="15" t="s">
        <v>15</v>
      </c>
      <c r="N46" s="15" t="s">
        <v>15</v>
      </c>
      <c r="O46" s="15" t="s">
        <v>15</v>
      </c>
      <c r="P46" s="15" t="s">
        <v>15</v>
      </c>
      <c r="Q46" s="15" t="s">
        <v>15</v>
      </c>
      <c r="R46" s="15" t="s">
        <v>15</v>
      </c>
      <c r="S46" s="15" t="s">
        <v>15</v>
      </c>
      <c r="T46" s="15" t="s">
        <v>15</v>
      </c>
      <c r="U46" s="15" t="s">
        <v>15</v>
      </c>
      <c r="V46" s="15" t="s">
        <v>15</v>
      </c>
      <c r="W46" s="15" t="s">
        <v>15</v>
      </c>
      <c r="X46" s="15" t="s">
        <v>15</v>
      </c>
      <c r="Y46" s="15" t="s">
        <v>15</v>
      </c>
      <c r="Z46" s="15" t="s">
        <v>15</v>
      </c>
      <c r="AA46" s="15" t="s">
        <v>15</v>
      </c>
      <c r="AB46" s="15" t="s">
        <v>15</v>
      </c>
      <c r="AC46" s="15" t="s">
        <v>15</v>
      </c>
      <c r="AD46" s="15" t="s">
        <v>15</v>
      </c>
      <c r="AE46" s="15" t="s">
        <v>15</v>
      </c>
      <c r="AF46" s="15" t="s">
        <v>15</v>
      </c>
      <c r="AG46" s="15" t="s">
        <v>15</v>
      </c>
      <c r="AH46" s="15" t="s">
        <v>15</v>
      </c>
      <c r="AI46" s="15" t="s">
        <v>15</v>
      </c>
      <c r="AJ46" s="15" t="s">
        <v>15</v>
      </c>
      <c r="AK46" s="15" t="s">
        <v>15</v>
      </c>
      <c r="AL46" s="15" t="s">
        <v>15</v>
      </c>
    </row>
    <row r="47">
      <c r="A47" s="15" t="s">
        <v>15</v>
      </c>
      <c r="B47" s="3" t="s">
        <v>145</v>
      </c>
      <c r="C47" s="15" t="s">
        <v>15</v>
      </c>
      <c r="D47" s="15" t="s">
        <v>15</v>
      </c>
      <c r="E47" s="15" t="s">
        <v>15</v>
      </c>
      <c r="F47" s="15" t="s">
        <v>15</v>
      </c>
      <c r="G47" s="15" t="s">
        <v>15</v>
      </c>
      <c r="H47" s="15" t="s">
        <v>15</v>
      </c>
      <c r="I47" s="15" t="s">
        <v>15</v>
      </c>
      <c r="J47" s="5">
        <v>3.0</v>
      </c>
      <c r="K47" s="5">
        <v>3.0</v>
      </c>
      <c r="L47" s="15" t="s">
        <v>15</v>
      </c>
      <c r="M47" s="15" t="s">
        <v>15</v>
      </c>
      <c r="N47" s="15" t="s">
        <v>15</v>
      </c>
      <c r="O47" s="15" t="s">
        <v>15</v>
      </c>
      <c r="P47" s="15" t="s">
        <v>15</v>
      </c>
      <c r="Q47" s="15" t="s">
        <v>15</v>
      </c>
      <c r="R47" s="15" t="s">
        <v>15</v>
      </c>
      <c r="S47" s="15" t="s">
        <v>15</v>
      </c>
      <c r="T47" s="15" t="s">
        <v>15</v>
      </c>
      <c r="U47" s="15" t="s">
        <v>15</v>
      </c>
      <c r="V47" s="15" t="s">
        <v>15</v>
      </c>
      <c r="W47" s="15" t="s">
        <v>15</v>
      </c>
      <c r="X47" s="15" t="s">
        <v>15</v>
      </c>
      <c r="Y47" s="15" t="s">
        <v>15</v>
      </c>
      <c r="Z47" s="15" t="s">
        <v>15</v>
      </c>
      <c r="AA47" s="15" t="s">
        <v>15</v>
      </c>
      <c r="AB47" s="15" t="s">
        <v>15</v>
      </c>
      <c r="AC47" s="15" t="s">
        <v>15</v>
      </c>
      <c r="AD47" s="15" t="s">
        <v>15</v>
      </c>
      <c r="AE47" s="15" t="s">
        <v>15</v>
      </c>
      <c r="AF47" s="15" t="s">
        <v>15</v>
      </c>
      <c r="AG47" s="15" t="s">
        <v>15</v>
      </c>
      <c r="AH47" s="15" t="s">
        <v>15</v>
      </c>
      <c r="AI47" s="15" t="s">
        <v>15</v>
      </c>
      <c r="AJ47" s="15" t="s">
        <v>15</v>
      </c>
      <c r="AK47" s="15" t="s">
        <v>15</v>
      </c>
      <c r="AL47" s="15" t="s">
        <v>15</v>
      </c>
    </row>
    <row r="48">
      <c r="A48" s="15" t="s">
        <v>15</v>
      </c>
      <c r="B48" s="3" t="s">
        <v>146</v>
      </c>
      <c r="C48" s="15" t="s">
        <v>15</v>
      </c>
      <c r="D48" s="15" t="s">
        <v>15</v>
      </c>
      <c r="E48" s="15" t="s">
        <v>15</v>
      </c>
      <c r="F48" s="15" t="s">
        <v>15</v>
      </c>
      <c r="G48" s="15" t="s">
        <v>15</v>
      </c>
      <c r="H48" s="15" t="s">
        <v>15</v>
      </c>
      <c r="I48" s="15" t="s">
        <v>15</v>
      </c>
      <c r="J48" s="9">
        <v>35.0</v>
      </c>
      <c r="K48" s="9">
        <v>35.0</v>
      </c>
      <c r="L48" s="15" t="s">
        <v>15</v>
      </c>
      <c r="M48" s="15" t="s">
        <v>15</v>
      </c>
      <c r="N48" s="15" t="s">
        <v>15</v>
      </c>
      <c r="O48" s="15" t="s">
        <v>15</v>
      </c>
      <c r="P48" s="15" t="s">
        <v>15</v>
      </c>
      <c r="Q48" s="15" t="s">
        <v>15</v>
      </c>
      <c r="R48" s="15" t="s">
        <v>15</v>
      </c>
      <c r="S48" s="15" t="s">
        <v>15</v>
      </c>
      <c r="T48" s="15" t="s">
        <v>15</v>
      </c>
      <c r="U48" s="15" t="s">
        <v>15</v>
      </c>
      <c r="V48" s="15" t="s">
        <v>15</v>
      </c>
      <c r="W48" s="15" t="s">
        <v>15</v>
      </c>
      <c r="X48" s="15" t="s">
        <v>15</v>
      </c>
      <c r="Y48" s="15" t="s">
        <v>15</v>
      </c>
      <c r="Z48" s="15" t="s">
        <v>15</v>
      </c>
      <c r="AA48" s="15" t="s">
        <v>15</v>
      </c>
      <c r="AB48" s="15" t="s">
        <v>15</v>
      </c>
      <c r="AC48" s="15" t="s">
        <v>15</v>
      </c>
      <c r="AD48" s="15" t="s">
        <v>15</v>
      </c>
      <c r="AE48" s="15" t="s">
        <v>15</v>
      </c>
      <c r="AF48" s="15" t="s">
        <v>15</v>
      </c>
      <c r="AG48" s="15" t="s">
        <v>15</v>
      </c>
      <c r="AH48" s="15" t="s">
        <v>15</v>
      </c>
      <c r="AI48" s="15" t="s">
        <v>15</v>
      </c>
      <c r="AJ48" s="15" t="s">
        <v>15</v>
      </c>
      <c r="AK48" s="15" t="s">
        <v>15</v>
      </c>
      <c r="AL48" s="15" t="s">
        <v>15</v>
      </c>
    </row>
    <row r="49">
      <c r="A49" s="15" t="s">
        <v>15</v>
      </c>
      <c r="B49" s="3" t="s">
        <v>147</v>
      </c>
      <c r="C49" s="15" t="s">
        <v>15</v>
      </c>
      <c r="D49" s="15" t="s">
        <v>15</v>
      </c>
      <c r="E49" s="15" t="s">
        <v>15</v>
      </c>
      <c r="F49" s="15" t="s">
        <v>15</v>
      </c>
      <c r="G49" s="15" t="s">
        <v>15</v>
      </c>
      <c r="H49" s="15" t="s">
        <v>15</v>
      </c>
      <c r="I49" s="15" t="s">
        <v>15</v>
      </c>
      <c r="J49" s="5"/>
      <c r="K49" s="5">
        <v>80.0</v>
      </c>
      <c r="L49" s="15" t="s">
        <v>15</v>
      </c>
      <c r="M49" s="15" t="s">
        <v>15</v>
      </c>
      <c r="N49" s="15" t="s">
        <v>15</v>
      </c>
      <c r="O49" s="15" t="s">
        <v>15</v>
      </c>
      <c r="P49" s="15" t="s">
        <v>15</v>
      </c>
      <c r="Q49" s="15" t="s">
        <v>15</v>
      </c>
      <c r="R49" s="15" t="s">
        <v>15</v>
      </c>
      <c r="S49" s="15" t="s">
        <v>15</v>
      </c>
      <c r="T49" s="15" t="s">
        <v>15</v>
      </c>
      <c r="U49" s="15" t="s">
        <v>15</v>
      </c>
      <c r="V49" s="15" t="s">
        <v>15</v>
      </c>
      <c r="W49" s="15" t="s">
        <v>15</v>
      </c>
      <c r="X49" s="15" t="s">
        <v>15</v>
      </c>
      <c r="Y49" s="15" t="s">
        <v>15</v>
      </c>
      <c r="Z49" s="15" t="s">
        <v>15</v>
      </c>
      <c r="AA49" s="15" t="s">
        <v>15</v>
      </c>
      <c r="AB49" s="15" t="s">
        <v>15</v>
      </c>
      <c r="AC49" s="15" t="s">
        <v>15</v>
      </c>
      <c r="AD49" s="15" t="s">
        <v>15</v>
      </c>
      <c r="AE49" s="15" t="s">
        <v>15</v>
      </c>
      <c r="AF49" s="15" t="s">
        <v>15</v>
      </c>
      <c r="AG49" s="15" t="s">
        <v>15</v>
      </c>
      <c r="AH49" s="15" t="s">
        <v>15</v>
      </c>
      <c r="AI49" s="15" t="s">
        <v>15</v>
      </c>
      <c r="AJ49" s="15" t="s">
        <v>15</v>
      </c>
      <c r="AK49" s="15" t="s">
        <v>15</v>
      </c>
      <c r="AL49" s="15" t="s">
        <v>15</v>
      </c>
    </row>
    <row r="50">
      <c r="A50" s="15" t="s">
        <v>15</v>
      </c>
      <c r="B50" s="3" t="s">
        <v>148</v>
      </c>
      <c r="C50" s="15" t="s">
        <v>15</v>
      </c>
      <c r="D50" s="15" t="s">
        <v>15</v>
      </c>
      <c r="E50" s="15" t="s">
        <v>15</v>
      </c>
      <c r="F50" s="15" t="s">
        <v>15</v>
      </c>
      <c r="G50" s="15" t="s">
        <v>15</v>
      </c>
      <c r="H50" s="15" t="s">
        <v>15</v>
      </c>
      <c r="I50" s="15" t="s">
        <v>15</v>
      </c>
      <c r="J50" s="5">
        <v>100.0</v>
      </c>
      <c r="K50" s="5">
        <v>25.0</v>
      </c>
      <c r="L50" s="15" t="s">
        <v>15</v>
      </c>
      <c r="M50" s="15" t="s">
        <v>15</v>
      </c>
      <c r="N50" s="15" t="s">
        <v>15</v>
      </c>
      <c r="O50" s="15" t="s">
        <v>15</v>
      </c>
      <c r="P50" s="15" t="s">
        <v>15</v>
      </c>
      <c r="Q50" s="15" t="s">
        <v>15</v>
      </c>
      <c r="R50" s="15" t="s">
        <v>15</v>
      </c>
      <c r="S50" s="15" t="s">
        <v>15</v>
      </c>
      <c r="T50" s="15" t="s">
        <v>15</v>
      </c>
      <c r="U50" s="15" t="s">
        <v>15</v>
      </c>
      <c r="V50" s="15" t="s">
        <v>15</v>
      </c>
      <c r="W50" s="15" t="s">
        <v>15</v>
      </c>
      <c r="X50" s="15" t="s">
        <v>15</v>
      </c>
      <c r="Y50" s="15" t="s">
        <v>15</v>
      </c>
      <c r="Z50" s="15" t="s">
        <v>15</v>
      </c>
      <c r="AA50" s="15" t="s">
        <v>15</v>
      </c>
      <c r="AB50" s="15" t="s">
        <v>15</v>
      </c>
      <c r="AC50" s="15" t="s">
        <v>15</v>
      </c>
      <c r="AD50" s="15" t="s">
        <v>15</v>
      </c>
      <c r="AE50" s="15" t="s">
        <v>15</v>
      </c>
      <c r="AF50" s="15" t="s">
        <v>15</v>
      </c>
      <c r="AG50" s="15" t="s">
        <v>15</v>
      </c>
      <c r="AH50" s="15" t="s">
        <v>15</v>
      </c>
      <c r="AI50" s="15" t="s">
        <v>15</v>
      </c>
      <c r="AJ50" s="15" t="s">
        <v>15</v>
      </c>
      <c r="AK50" s="15" t="s">
        <v>15</v>
      </c>
      <c r="AL50" s="15" t="s">
        <v>15</v>
      </c>
    </row>
    <row r="51">
      <c r="A51" s="15" t="s">
        <v>15</v>
      </c>
      <c r="B51" s="3" t="s">
        <v>149</v>
      </c>
      <c r="C51" s="15" t="s">
        <v>15</v>
      </c>
      <c r="D51" s="15" t="s">
        <v>15</v>
      </c>
      <c r="E51" s="15" t="s">
        <v>15</v>
      </c>
      <c r="F51" s="15" t="s">
        <v>15</v>
      </c>
      <c r="G51" s="15" t="s">
        <v>15</v>
      </c>
      <c r="H51" s="15" t="s">
        <v>15</v>
      </c>
      <c r="I51" s="15" t="s">
        <v>15</v>
      </c>
      <c r="J51" s="5"/>
      <c r="K51" s="5">
        <v>220.0</v>
      </c>
      <c r="L51" s="15" t="s">
        <v>15</v>
      </c>
      <c r="M51" s="15" t="s">
        <v>15</v>
      </c>
      <c r="N51" s="15" t="s">
        <v>15</v>
      </c>
      <c r="O51" s="15" t="s">
        <v>15</v>
      </c>
      <c r="P51" s="15" t="s">
        <v>15</v>
      </c>
      <c r="Q51" s="15" t="s">
        <v>15</v>
      </c>
      <c r="R51" s="15" t="s">
        <v>15</v>
      </c>
      <c r="S51" s="15" t="s">
        <v>15</v>
      </c>
      <c r="T51" s="15" t="s">
        <v>15</v>
      </c>
      <c r="U51" s="15" t="s">
        <v>15</v>
      </c>
      <c r="V51" s="15" t="s">
        <v>15</v>
      </c>
      <c r="W51" s="15" t="s">
        <v>15</v>
      </c>
      <c r="X51" s="15" t="s">
        <v>15</v>
      </c>
      <c r="Y51" s="15" t="s">
        <v>15</v>
      </c>
      <c r="Z51" s="15" t="s">
        <v>15</v>
      </c>
      <c r="AA51" s="15" t="s">
        <v>15</v>
      </c>
      <c r="AB51" s="15" t="s">
        <v>15</v>
      </c>
      <c r="AC51" s="15" t="s">
        <v>15</v>
      </c>
      <c r="AD51" s="15" t="s">
        <v>15</v>
      </c>
      <c r="AE51" s="15" t="s">
        <v>15</v>
      </c>
      <c r="AF51" s="15" t="s">
        <v>15</v>
      </c>
      <c r="AG51" s="15" t="s">
        <v>15</v>
      </c>
      <c r="AH51" s="15" t="s">
        <v>15</v>
      </c>
      <c r="AI51" s="15" t="s">
        <v>15</v>
      </c>
      <c r="AJ51" s="15" t="s">
        <v>15</v>
      </c>
      <c r="AK51" s="15" t="s">
        <v>15</v>
      </c>
      <c r="AL51" s="15" t="s">
        <v>15</v>
      </c>
    </row>
    <row r="52">
      <c r="A52" s="15" t="s">
        <v>15</v>
      </c>
      <c r="B52" s="3" t="s">
        <v>150</v>
      </c>
      <c r="C52" s="15" t="s">
        <v>15</v>
      </c>
      <c r="D52" s="15" t="s">
        <v>15</v>
      </c>
      <c r="E52" s="15" t="s">
        <v>15</v>
      </c>
      <c r="F52" s="15" t="s">
        <v>15</v>
      </c>
      <c r="G52" s="15" t="s">
        <v>15</v>
      </c>
      <c r="H52" s="15" t="s">
        <v>15</v>
      </c>
      <c r="I52" s="15" t="s">
        <v>15</v>
      </c>
      <c r="J52" s="5">
        <v>350.0</v>
      </c>
      <c r="K52" s="5">
        <v>350.0</v>
      </c>
      <c r="L52" s="15" t="s">
        <v>15</v>
      </c>
      <c r="M52" s="15" t="s">
        <v>15</v>
      </c>
      <c r="N52" s="15" t="s">
        <v>15</v>
      </c>
      <c r="O52" s="15" t="s">
        <v>15</v>
      </c>
      <c r="P52" s="15" t="s">
        <v>15</v>
      </c>
      <c r="Q52" s="15" t="s">
        <v>15</v>
      </c>
      <c r="R52" s="15" t="s">
        <v>15</v>
      </c>
      <c r="S52" s="15" t="s">
        <v>15</v>
      </c>
      <c r="T52" s="15" t="s">
        <v>15</v>
      </c>
      <c r="U52" s="15" t="s">
        <v>15</v>
      </c>
      <c r="V52" s="15" t="s">
        <v>15</v>
      </c>
      <c r="W52" s="15" t="s">
        <v>15</v>
      </c>
      <c r="X52" s="15" t="s">
        <v>15</v>
      </c>
      <c r="Y52" s="15" t="s">
        <v>15</v>
      </c>
      <c r="Z52" s="15" t="s">
        <v>15</v>
      </c>
      <c r="AA52" s="15" t="s">
        <v>15</v>
      </c>
      <c r="AB52" s="15" t="s">
        <v>15</v>
      </c>
      <c r="AC52" s="15" t="s">
        <v>15</v>
      </c>
      <c r="AD52" s="15" t="s">
        <v>15</v>
      </c>
      <c r="AE52" s="15" t="s">
        <v>15</v>
      </c>
      <c r="AF52" s="15" t="s">
        <v>15</v>
      </c>
      <c r="AG52" s="15" t="s">
        <v>15</v>
      </c>
      <c r="AH52" s="15" t="s">
        <v>15</v>
      </c>
      <c r="AI52" s="15" t="s">
        <v>15</v>
      </c>
      <c r="AJ52" s="15" t="s">
        <v>15</v>
      </c>
      <c r="AK52" s="15" t="s">
        <v>15</v>
      </c>
      <c r="AL52" s="15" t="s">
        <v>15</v>
      </c>
    </row>
    <row r="53">
      <c r="A53" s="15" t="s">
        <v>15</v>
      </c>
      <c r="B53" s="3" t="s">
        <v>151</v>
      </c>
      <c r="C53" s="15" t="s">
        <v>15</v>
      </c>
      <c r="D53" s="15" t="s">
        <v>15</v>
      </c>
      <c r="E53" s="15" t="s">
        <v>15</v>
      </c>
      <c r="F53" s="15" t="s">
        <v>15</v>
      </c>
      <c r="G53" s="15" t="s">
        <v>15</v>
      </c>
      <c r="H53" s="15" t="s">
        <v>15</v>
      </c>
      <c r="I53" s="15" t="s">
        <v>15</v>
      </c>
      <c r="J53" s="9">
        <v>32.0</v>
      </c>
      <c r="K53" s="9">
        <v>32.0</v>
      </c>
      <c r="L53" s="15" t="s">
        <v>15</v>
      </c>
      <c r="M53" s="15" t="s">
        <v>15</v>
      </c>
      <c r="N53" s="15" t="s">
        <v>15</v>
      </c>
      <c r="O53" s="15" t="s">
        <v>15</v>
      </c>
      <c r="P53" s="15" t="s">
        <v>15</v>
      </c>
      <c r="Q53" s="15" t="s">
        <v>15</v>
      </c>
      <c r="R53" s="15" t="s">
        <v>15</v>
      </c>
      <c r="S53" s="15" t="s">
        <v>15</v>
      </c>
      <c r="T53" s="15" t="s">
        <v>15</v>
      </c>
      <c r="U53" s="15" t="s">
        <v>15</v>
      </c>
      <c r="V53" s="15" t="s">
        <v>15</v>
      </c>
      <c r="W53" s="15" t="s">
        <v>15</v>
      </c>
      <c r="X53" s="15" t="s">
        <v>15</v>
      </c>
      <c r="Y53" s="15" t="s">
        <v>15</v>
      </c>
      <c r="Z53" s="15" t="s">
        <v>15</v>
      </c>
      <c r="AA53" s="15" t="s">
        <v>15</v>
      </c>
      <c r="AB53" s="15" t="s">
        <v>15</v>
      </c>
      <c r="AC53" s="15" t="s">
        <v>15</v>
      </c>
      <c r="AD53" s="15" t="s">
        <v>15</v>
      </c>
      <c r="AE53" s="15" t="s">
        <v>15</v>
      </c>
      <c r="AF53" s="15" t="s">
        <v>15</v>
      </c>
      <c r="AG53" s="15" t="s">
        <v>15</v>
      </c>
      <c r="AH53" s="15" t="s">
        <v>15</v>
      </c>
      <c r="AI53" s="15" t="s">
        <v>15</v>
      </c>
      <c r="AJ53" s="15" t="s">
        <v>15</v>
      </c>
      <c r="AK53" s="15" t="s">
        <v>15</v>
      </c>
      <c r="AL53" s="15" t="s">
        <v>15</v>
      </c>
    </row>
    <row r="54">
      <c r="B54" s="3" t="s">
        <v>152</v>
      </c>
      <c r="J54" s="5">
        <v>70.0</v>
      </c>
      <c r="K54" s="5">
        <v>70.0</v>
      </c>
    </row>
    <row r="55">
      <c r="B55" s="3" t="s">
        <v>153</v>
      </c>
      <c r="J55" s="5"/>
      <c r="K55" s="5">
        <v>55.0</v>
      </c>
    </row>
    <row r="56">
      <c r="B56" s="3" t="s">
        <v>154</v>
      </c>
      <c r="J56" s="5">
        <v>30.0</v>
      </c>
      <c r="K56" s="5">
        <v>30.0</v>
      </c>
    </row>
    <row r="57">
      <c r="B57" s="3" t="s">
        <v>155</v>
      </c>
      <c r="J57" s="5"/>
      <c r="K57" s="5">
        <v>220.0</v>
      </c>
    </row>
    <row r="58">
      <c r="B58" s="3" t="s">
        <v>156</v>
      </c>
      <c r="J58" s="5">
        <v>180.0</v>
      </c>
      <c r="K58" s="5">
        <v>180.0</v>
      </c>
    </row>
    <row r="59">
      <c r="B59" s="3" t="s">
        <v>157</v>
      </c>
      <c r="J59" s="5">
        <f>L59*25-25</f>
        <v>-25</v>
      </c>
      <c r="K59" s="5">
        <v>70.0</v>
      </c>
    </row>
    <row r="60">
      <c r="B60" s="3" t="s">
        <v>158</v>
      </c>
      <c r="J60" s="5">
        <v>175.0</v>
      </c>
      <c r="K60" s="5">
        <v>165.0</v>
      </c>
    </row>
    <row r="61">
      <c r="B61" s="3" t="s">
        <v>159</v>
      </c>
      <c r="J61" s="5">
        <v>700.0</v>
      </c>
      <c r="K61" s="5">
        <v>680.0</v>
      </c>
    </row>
    <row r="62">
      <c r="B62" s="3" t="s">
        <v>160</v>
      </c>
      <c r="J62" s="5">
        <v>180.0</v>
      </c>
      <c r="K62" s="5">
        <v>180.0</v>
      </c>
    </row>
    <row r="63">
      <c r="B63" s="3" t="s">
        <v>161</v>
      </c>
      <c r="J63" s="9">
        <v>70.0</v>
      </c>
      <c r="K63" s="9">
        <v>70.0</v>
      </c>
    </row>
    <row r="64">
      <c r="B64" s="3" t="s">
        <v>162</v>
      </c>
      <c r="J64" s="5">
        <v>5.0</v>
      </c>
      <c r="K64" s="5">
        <v>5.0</v>
      </c>
    </row>
    <row r="65">
      <c r="B65" s="3" t="s">
        <v>163</v>
      </c>
      <c r="J65" s="5">
        <v>350.0</v>
      </c>
      <c r="K65" s="5">
        <v>340.0</v>
      </c>
    </row>
    <row r="66">
      <c r="B66" s="3" t="s">
        <v>164</v>
      </c>
      <c r="J66" s="5">
        <v>420.0</v>
      </c>
      <c r="K66" s="5">
        <v>415.0</v>
      </c>
    </row>
    <row r="67">
      <c r="B67" s="3" t="s">
        <v>165</v>
      </c>
      <c r="J67" s="5">
        <v>320.0</v>
      </c>
      <c r="K67" s="5">
        <v>310.0</v>
      </c>
    </row>
    <row r="68">
      <c r="B68" s="3" t="s">
        <v>166</v>
      </c>
      <c r="J68" s="5">
        <v>180.0</v>
      </c>
      <c r="K68" s="5">
        <v>180.0</v>
      </c>
    </row>
    <row r="69">
      <c r="B69" s="3" t="s">
        <v>167</v>
      </c>
      <c r="J69" s="5">
        <v>350.0</v>
      </c>
      <c r="K69" s="5">
        <v>345.0</v>
      </c>
    </row>
    <row r="70">
      <c r="B70" s="3" t="s">
        <v>168</v>
      </c>
      <c r="J70" s="5">
        <v>2025.0</v>
      </c>
      <c r="K70" s="5">
        <v>82.0</v>
      </c>
    </row>
    <row r="71">
      <c r="B71" s="3" t="s">
        <v>169</v>
      </c>
      <c r="J71" s="5">
        <v>120.0</v>
      </c>
      <c r="K71" s="5">
        <v>110.0</v>
      </c>
    </row>
    <row r="72">
      <c r="B72" s="3" t="s">
        <v>170</v>
      </c>
      <c r="J72" s="5">
        <v>90.0</v>
      </c>
      <c r="K72" s="5">
        <v>90.0</v>
      </c>
    </row>
    <row r="73">
      <c r="B73" s="3" t="s">
        <v>171</v>
      </c>
      <c r="J73" s="5">
        <v>180.0</v>
      </c>
      <c r="K73" s="5">
        <v>175.0</v>
      </c>
    </row>
    <row r="74">
      <c r="B74" s="3" t="s">
        <v>172</v>
      </c>
      <c r="J74" s="5">
        <v>200.0</v>
      </c>
      <c r="K74" s="5">
        <v>195.0</v>
      </c>
    </row>
    <row r="75">
      <c r="B75" s="3" t="s">
        <v>173</v>
      </c>
      <c r="J75" s="5">
        <v>40.0</v>
      </c>
      <c r="K75" s="5">
        <v>40.0</v>
      </c>
    </row>
    <row r="76">
      <c r="B76" s="3" t="s">
        <v>174</v>
      </c>
      <c r="J76" s="5">
        <v>160.0</v>
      </c>
      <c r="K76" s="5">
        <v>150.0</v>
      </c>
    </row>
    <row r="77">
      <c r="B77" s="3" t="s">
        <v>175</v>
      </c>
      <c r="J77" s="5">
        <v>90.0</v>
      </c>
      <c r="K77" s="5">
        <v>90.0</v>
      </c>
    </row>
    <row r="78">
      <c r="B78" s="3" t="s">
        <v>176</v>
      </c>
      <c r="J78" s="5">
        <v>200.0</v>
      </c>
      <c r="K78" s="5">
        <v>195.0</v>
      </c>
    </row>
    <row r="79">
      <c r="B79" s="3" t="s">
        <v>177</v>
      </c>
      <c r="J79" s="5">
        <v>160.0</v>
      </c>
      <c r="K79" s="5">
        <v>150.0</v>
      </c>
    </row>
    <row r="80">
      <c r="B80" s="3" t="s">
        <v>178</v>
      </c>
      <c r="J80" s="5">
        <v>200.0</v>
      </c>
      <c r="K80" s="5">
        <v>195.0</v>
      </c>
    </row>
    <row r="81">
      <c r="B81" s="3" t="s">
        <v>179</v>
      </c>
      <c r="J81" s="5">
        <v>350.0</v>
      </c>
      <c r="K81" s="5">
        <v>350.0</v>
      </c>
    </row>
    <row r="82">
      <c r="B82" s="3" t="s">
        <v>180</v>
      </c>
      <c r="J82" s="5"/>
      <c r="K82" s="5">
        <v>38.0</v>
      </c>
    </row>
    <row r="83">
      <c r="B83" s="3" t="s">
        <v>181</v>
      </c>
      <c r="J83" s="5">
        <v>420.0</v>
      </c>
      <c r="K83" s="5">
        <v>410.0</v>
      </c>
    </row>
    <row r="84">
      <c r="B84" s="3" t="s">
        <v>182</v>
      </c>
      <c r="J84" s="9">
        <v>90.0</v>
      </c>
      <c r="K84" s="9">
        <v>90.0</v>
      </c>
    </row>
    <row r="85">
      <c r="B85" s="3" t="s">
        <v>183</v>
      </c>
      <c r="J85" s="5">
        <v>120.0</v>
      </c>
      <c r="K85" s="5">
        <f t="shared" ref="K85:K86" si="2">I85-(I85*5%)</f>
        <v>0</v>
      </c>
    </row>
    <row r="86">
      <c r="B86" s="3" t="s">
        <v>184</v>
      </c>
      <c r="J86" s="5">
        <v>120.0</v>
      </c>
      <c r="K86" s="5">
        <f t="shared" si="2"/>
        <v>0</v>
      </c>
    </row>
    <row r="87">
      <c r="B87" s="3" t="s">
        <v>185</v>
      </c>
      <c r="J87" s="5">
        <v>105.0</v>
      </c>
      <c r="K87" s="5">
        <v>100.0</v>
      </c>
    </row>
    <row r="88">
      <c r="B88" s="3" t="s">
        <v>186</v>
      </c>
      <c r="J88" s="5">
        <v>200.0</v>
      </c>
      <c r="K88" s="5">
        <v>200.0</v>
      </c>
    </row>
    <row r="89">
      <c r="B89" s="3" t="s">
        <v>187</v>
      </c>
      <c r="J89" s="5">
        <v>400.0</v>
      </c>
      <c r="K89" s="5">
        <f>I89-(I89*5%)</f>
        <v>0</v>
      </c>
    </row>
    <row r="90">
      <c r="B90" s="3" t="s">
        <v>188</v>
      </c>
      <c r="J90" s="5">
        <v>85.0</v>
      </c>
      <c r="K90" s="5">
        <v>80.0</v>
      </c>
    </row>
    <row r="91">
      <c r="B91" s="3" t="s">
        <v>189</v>
      </c>
      <c r="J91" s="5">
        <v>130.0</v>
      </c>
      <c r="K91" s="5">
        <v>125.0</v>
      </c>
    </row>
    <row r="92">
      <c r="B92" s="3" t="s">
        <v>190</v>
      </c>
      <c r="J92" s="5">
        <v>420.0</v>
      </c>
      <c r="K92" s="5">
        <v>415.0</v>
      </c>
    </row>
    <row r="93">
      <c r="B93" s="3" t="s">
        <v>191</v>
      </c>
      <c r="J93" s="5">
        <v>440.0</v>
      </c>
      <c r="K93" s="5">
        <v>430.0</v>
      </c>
    </row>
    <row r="94">
      <c r="B94" s="3" t="s">
        <v>192</v>
      </c>
      <c r="J94" s="5">
        <v>120.0</v>
      </c>
      <c r="K94" s="5">
        <v>120.0</v>
      </c>
    </row>
    <row r="95">
      <c r="B95" s="3" t="s">
        <v>193</v>
      </c>
      <c r="J95" s="9">
        <v>425.0</v>
      </c>
      <c r="K95" s="9">
        <v>425.0</v>
      </c>
    </row>
    <row r="96">
      <c r="B96" s="3" t="s">
        <v>194</v>
      </c>
      <c r="J96" s="5">
        <v>440.0</v>
      </c>
      <c r="K96" s="5">
        <v>430.0</v>
      </c>
    </row>
    <row r="97">
      <c r="B97" s="3" t="s">
        <v>195</v>
      </c>
      <c r="J97" s="5">
        <v>4.0</v>
      </c>
      <c r="K97" s="5">
        <v>4.0</v>
      </c>
    </row>
    <row r="98">
      <c r="B98" s="3" t="s">
        <v>196</v>
      </c>
      <c r="J98" s="5">
        <v>400.0</v>
      </c>
      <c r="K98" s="5">
        <v>390.0</v>
      </c>
    </row>
    <row r="99">
      <c r="B99" s="3" t="s">
        <v>197</v>
      </c>
      <c r="J99" s="5">
        <v>120.0</v>
      </c>
      <c r="K99" s="5">
        <v>120.0</v>
      </c>
    </row>
    <row r="100">
      <c r="B100" s="3" t="s">
        <v>198</v>
      </c>
      <c r="J100" s="5">
        <v>350.0</v>
      </c>
      <c r="K100" s="5">
        <v>335.0</v>
      </c>
    </row>
    <row r="101">
      <c r="B101" s="3" t="s">
        <v>199</v>
      </c>
      <c r="J101" s="5">
        <v>240.0</v>
      </c>
      <c r="K101" s="5">
        <v>230.0</v>
      </c>
    </row>
    <row r="102">
      <c r="B102" s="3" t="s">
        <v>200</v>
      </c>
      <c r="J102" s="5">
        <v>400.0</v>
      </c>
      <c r="K102" s="5">
        <v>390.0</v>
      </c>
    </row>
    <row r="103">
      <c r="B103" s="3" t="s">
        <v>201</v>
      </c>
      <c r="J103" s="5"/>
      <c r="K103" s="5">
        <v>165.0</v>
      </c>
    </row>
    <row r="104">
      <c r="B104" s="3" t="s">
        <v>202</v>
      </c>
      <c r="J104" s="5">
        <v>280.0</v>
      </c>
      <c r="K104" s="5">
        <v>265.0</v>
      </c>
    </row>
    <row r="105">
      <c r="B105" s="3" t="s">
        <v>203</v>
      </c>
      <c r="J105" s="5"/>
      <c r="K105" s="5">
        <v>71.0</v>
      </c>
    </row>
    <row r="106">
      <c r="B106" s="3" t="s">
        <v>204</v>
      </c>
      <c r="J106" s="5">
        <v>80.0</v>
      </c>
      <c r="K106" s="5">
        <v>80.0</v>
      </c>
    </row>
    <row r="107">
      <c r="B107" s="3" t="s">
        <v>205</v>
      </c>
      <c r="J107" s="5">
        <v>265.0</v>
      </c>
      <c r="K107" s="5">
        <v>265.0</v>
      </c>
    </row>
    <row r="108">
      <c r="B108" s="3" t="s">
        <v>206</v>
      </c>
      <c r="J108" s="5">
        <v>55.0</v>
      </c>
      <c r="K108" s="5">
        <v>55.0</v>
      </c>
    </row>
    <row r="109">
      <c r="B109" s="3" t="s">
        <v>207</v>
      </c>
      <c r="J109" s="5">
        <v>70.0</v>
      </c>
      <c r="K109" s="5">
        <f>I109-(I109*5%)</f>
        <v>0</v>
      </c>
    </row>
    <row r="110">
      <c r="B110" s="3" t="s">
        <v>208</v>
      </c>
      <c r="J110" s="5">
        <v>55.0</v>
      </c>
      <c r="K110" s="5">
        <v>55.0</v>
      </c>
    </row>
    <row r="111">
      <c r="B111" s="3" t="s">
        <v>209</v>
      </c>
      <c r="J111" s="5">
        <v>20.0</v>
      </c>
      <c r="K111" s="5">
        <v>20.0</v>
      </c>
    </row>
    <row r="112">
      <c r="B112" s="3" t="s">
        <v>210</v>
      </c>
      <c r="J112" s="5">
        <v>20.0</v>
      </c>
      <c r="K112" s="5">
        <v>20.0</v>
      </c>
    </row>
    <row r="113">
      <c r="B113" s="3" t="s">
        <v>211</v>
      </c>
      <c r="J113" s="5">
        <v>5.0</v>
      </c>
      <c r="K113" s="5">
        <v>5.0</v>
      </c>
    </row>
    <row r="114">
      <c r="B114" s="3" t="s">
        <v>212</v>
      </c>
      <c r="J114" s="5">
        <v>15.0</v>
      </c>
      <c r="K114" s="5">
        <v>15.0</v>
      </c>
    </row>
    <row r="115">
      <c r="B115" s="3" t="s">
        <v>213</v>
      </c>
      <c r="J115" s="5">
        <v>50.0</v>
      </c>
      <c r="K115" s="5">
        <v>50.0</v>
      </c>
    </row>
    <row r="116">
      <c r="B116" s="3" t="s">
        <v>214</v>
      </c>
      <c r="J116" s="5">
        <v>135.0</v>
      </c>
      <c r="K116" s="5">
        <v>130.0</v>
      </c>
    </row>
    <row r="117">
      <c r="B117" s="3" t="s">
        <v>215</v>
      </c>
      <c r="J117" s="5">
        <v>750.0</v>
      </c>
      <c r="K117" s="5">
        <v>750.0</v>
      </c>
    </row>
    <row r="118">
      <c r="B118" s="3" t="s">
        <v>216</v>
      </c>
      <c r="J118" s="9">
        <v>50.0</v>
      </c>
      <c r="K118" s="9">
        <v>50.0</v>
      </c>
    </row>
    <row r="119">
      <c r="B119" s="3" t="s">
        <v>217</v>
      </c>
      <c r="J119" s="9">
        <v>200.0</v>
      </c>
      <c r="K119" s="9">
        <v>200.0</v>
      </c>
    </row>
    <row r="120">
      <c r="B120" s="3" t="s">
        <v>218</v>
      </c>
      <c r="J120" s="5">
        <v>225.0</v>
      </c>
      <c r="K120" s="5">
        <v>225.0</v>
      </c>
    </row>
    <row r="121">
      <c r="B121" s="3" t="s">
        <v>219</v>
      </c>
      <c r="J121" s="5"/>
      <c r="K121" s="10">
        <v>5.0</v>
      </c>
    </row>
    <row r="122">
      <c r="B122" s="3" t="s">
        <v>220</v>
      </c>
      <c r="J122" s="5"/>
      <c r="K122" s="10">
        <v>10.0</v>
      </c>
    </row>
    <row r="123">
      <c r="B123" s="3" t="s">
        <v>221</v>
      </c>
      <c r="J123" s="5"/>
      <c r="K123" s="10">
        <v>180.0</v>
      </c>
    </row>
    <row r="124">
      <c r="B124" s="3" t="s">
        <v>222</v>
      </c>
      <c r="J124" s="5"/>
      <c r="K124" s="10">
        <v>10.0</v>
      </c>
    </row>
    <row r="125">
      <c r="B125" s="3" t="s">
        <v>223</v>
      </c>
      <c r="J125" s="5"/>
      <c r="K125" s="10">
        <v>30.0</v>
      </c>
    </row>
    <row r="126">
      <c r="B126" s="3" t="s">
        <v>224</v>
      </c>
      <c r="J126" s="5"/>
      <c r="K126" s="10">
        <v>5.0</v>
      </c>
    </row>
    <row r="127">
      <c r="B127" s="3" t="s">
        <v>225</v>
      </c>
      <c r="J127" s="5">
        <v>40.0</v>
      </c>
      <c r="K127" s="5">
        <v>40.0</v>
      </c>
    </row>
    <row r="128">
      <c r="B128" s="3" t="s">
        <v>226</v>
      </c>
      <c r="J128" s="5">
        <v>15.0</v>
      </c>
      <c r="K128" s="5">
        <v>15.0</v>
      </c>
    </row>
    <row r="129">
      <c r="B129" s="3" t="s">
        <v>227</v>
      </c>
      <c r="J129" s="5">
        <v>15.0</v>
      </c>
      <c r="K129" s="5">
        <v>15.0</v>
      </c>
    </row>
    <row r="130">
      <c r="B130" s="3" t="s">
        <v>228</v>
      </c>
      <c r="J130" s="5">
        <v>15.0</v>
      </c>
      <c r="K130" s="5">
        <v>15.0</v>
      </c>
    </row>
    <row r="131">
      <c r="B131" s="3" t="s">
        <v>229</v>
      </c>
      <c r="J131" s="9">
        <v>170.0</v>
      </c>
      <c r="K131" s="9">
        <v>165.0</v>
      </c>
    </row>
    <row r="132">
      <c r="B132" s="3" t="s">
        <v>230</v>
      </c>
      <c r="J132" s="9">
        <v>160.0</v>
      </c>
      <c r="K132" s="9">
        <v>155.0</v>
      </c>
    </row>
    <row r="133">
      <c r="B133" s="3" t="s">
        <v>231</v>
      </c>
      <c r="J133" s="9">
        <v>40.0</v>
      </c>
      <c r="K133" s="9">
        <f>I133-(I133*5%)</f>
        <v>0</v>
      </c>
    </row>
    <row r="134">
      <c r="B134" s="3" t="s">
        <v>232</v>
      </c>
      <c r="J134" s="9"/>
      <c r="K134" s="9">
        <v>95.0</v>
      </c>
    </row>
    <row r="135">
      <c r="B135" s="3" t="s">
        <v>233</v>
      </c>
      <c r="J135" s="5">
        <v>20.0</v>
      </c>
      <c r="K135" s="5">
        <v>20.0</v>
      </c>
    </row>
    <row r="136">
      <c r="B136" s="3" t="s">
        <v>191</v>
      </c>
      <c r="J136" s="5">
        <v>440.0</v>
      </c>
      <c r="K136" s="5">
        <v>420.0</v>
      </c>
    </row>
    <row r="137">
      <c r="B137" s="3" t="s">
        <v>234</v>
      </c>
      <c r="J137" s="9">
        <v>30.0</v>
      </c>
      <c r="K137" s="9">
        <v>29.7</v>
      </c>
    </row>
    <row r="138">
      <c r="B138" s="3" t="s">
        <v>235</v>
      </c>
      <c r="J138" s="5">
        <v>220.0</v>
      </c>
      <c r="K138" s="5">
        <v>200.0</v>
      </c>
    </row>
    <row r="139">
      <c r="B139" s="3" t="s">
        <v>236</v>
      </c>
      <c r="J139" s="5">
        <v>120.0</v>
      </c>
      <c r="K139" s="5">
        <v>115.0</v>
      </c>
    </row>
    <row r="140">
      <c r="B140" s="3" t="s">
        <v>237</v>
      </c>
      <c r="J140" s="9">
        <v>60.0</v>
      </c>
      <c r="K140" s="9">
        <v>60.8</v>
      </c>
    </row>
    <row r="141">
      <c r="B141" s="3" t="s">
        <v>238</v>
      </c>
      <c r="J141" s="5"/>
      <c r="K141" s="5">
        <v>350.0</v>
      </c>
    </row>
    <row r="142">
      <c r="B142" s="3" t="s">
        <v>239</v>
      </c>
      <c r="J142" s="5">
        <v>120.0</v>
      </c>
      <c r="K142" s="5">
        <v>118.0</v>
      </c>
    </row>
    <row r="143">
      <c r="B143" s="3" t="s">
        <v>240</v>
      </c>
      <c r="J143" s="9">
        <v>250.0</v>
      </c>
      <c r="K143" s="9">
        <v>250.0</v>
      </c>
    </row>
    <row r="144">
      <c r="B144" s="3" t="s">
        <v>241</v>
      </c>
      <c r="J144" s="5"/>
      <c r="K144" s="5">
        <v>120.0</v>
      </c>
    </row>
    <row r="145">
      <c r="B145" s="3" t="s">
        <v>242</v>
      </c>
      <c r="J145" s="5">
        <v>30.0</v>
      </c>
      <c r="K145" s="5">
        <v>30.0</v>
      </c>
    </row>
    <row r="146">
      <c r="B146" s="3" t="s">
        <v>243</v>
      </c>
      <c r="J146" s="9">
        <v>425.0</v>
      </c>
      <c r="K146" s="9">
        <v>425.0</v>
      </c>
    </row>
    <row r="147">
      <c r="B147" s="3" t="s">
        <v>244</v>
      </c>
      <c r="J147" s="9">
        <v>100.0</v>
      </c>
      <c r="K147" s="9">
        <v>98.0</v>
      </c>
    </row>
    <row r="148">
      <c r="B148" s="3" t="s">
        <v>245</v>
      </c>
      <c r="J148" s="9">
        <v>60.0</v>
      </c>
      <c r="K148" s="9">
        <v>60.0</v>
      </c>
    </row>
    <row r="149">
      <c r="B149" s="3" t="s">
        <v>246</v>
      </c>
      <c r="J149" s="9">
        <v>300.0</v>
      </c>
      <c r="K149" s="9">
        <v>300.0</v>
      </c>
    </row>
    <row r="150">
      <c r="B150" s="3" t="s">
        <v>247</v>
      </c>
      <c r="J150" s="5">
        <v>60.0</v>
      </c>
      <c r="K150" s="5">
        <v>60.0</v>
      </c>
    </row>
    <row r="151">
      <c r="B151" s="3" t="s">
        <v>248</v>
      </c>
      <c r="J151" s="5">
        <v>55.0</v>
      </c>
      <c r="K151" s="5">
        <v>55.0</v>
      </c>
    </row>
    <row r="152">
      <c r="B152" s="3" t="s">
        <v>249</v>
      </c>
      <c r="J152" s="9">
        <v>100.0</v>
      </c>
      <c r="K152" s="9">
        <v>98.0</v>
      </c>
    </row>
    <row r="153">
      <c r="B153" s="3" t="s">
        <v>250</v>
      </c>
      <c r="J153" s="9">
        <v>30.0</v>
      </c>
      <c r="K153" s="9">
        <v>30.0</v>
      </c>
    </row>
    <row r="154">
      <c r="B154" s="3" t="s">
        <v>251</v>
      </c>
      <c r="J154" s="9">
        <v>250.0</v>
      </c>
      <c r="K154" s="9">
        <v>250.0</v>
      </c>
    </row>
    <row r="155">
      <c r="B155" s="3" t="s">
        <v>252</v>
      </c>
      <c r="J155" s="5">
        <v>55.0</v>
      </c>
      <c r="K155" s="5">
        <v>55.0</v>
      </c>
    </row>
    <row r="156">
      <c r="B156" s="3" t="s">
        <v>253</v>
      </c>
      <c r="J156" s="9">
        <v>180.0</v>
      </c>
      <c r="K156" s="9">
        <v>180.0</v>
      </c>
    </row>
    <row r="157">
      <c r="B157" s="3" t="s">
        <v>254</v>
      </c>
      <c r="J157" s="9">
        <v>140.0</v>
      </c>
      <c r="K157" s="9">
        <v>135.0</v>
      </c>
    </row>
    <row r="158">
      <c r="B158" s="3" t="s">
        <v>255</v>
      </c>
      <c r="J158" s="5">
        <v>170.0</v>
      </c>
      <c r="K158" s="5">
        <v>160.0</v>
      </c>
    </row>
    <row r="159">
      <c r="B159" s="3" t="s">
        <v>256</v>
      </c>
      <c r="J159" s="5">
        <v>60.0</v>
      </c>
      <c r="K159" s="5">
        <v>55.0</v>
      </c>
    </row>
    <row r="160">
      <c r="B160" s="3" t="s">
        <v>257</v>
      </c>
      <c r="J160" s="5">
        <v>210.0</v>
      </c>
      <c r="K160" s="5">
        <v>210.0</v>
      </c>
    </row>
    <row r="161">
      <c r="B161" s="3" t="s">
        <v>258</v>
      </c>
      <c r="J161" s="5">
        <v>5.0</v>
      </c>
      <c r="K161" s="5">
        <v>5.0</v>
      </c>
    </row>
    <row r="162">
      <c r="B162" s="3" t="s">
        <v>259</v>
      </c>
      <c r="J162" s="5">
        <v>290.0</v>
      </c>
      <c r="K162" s="5">
        <v>275.0</v>
      </c>
    </row>
    <row r="163">
      <c r="B163" s="3" t="s">
        <v>260</v>
      </c>
      <c r="J163" s="9">
        <v>95.0</v>
      </c>
      <c r="K163" s="9">
        <v>95.0</v>
      </c>
    </row>
    <row r="164">
      <c r="B164" s="3" t="s">
        <v>261</v>
      </c>
      <c r="J164" s="5"/>
      <c r="K164" s="5">
        <f>105/12</f>
        <v>8.75</v>
      </c>
    </row>
    <row r="165">
      <c r="B165" s="3" t="s">
        <v>262</v>
      </c>
      <c r="J165" s="5">
        <v>35.0</v>
      </c>
      <c r="K165" s="5">
        <v>35.0</v>
      </c>
    </row>
    <row r="166">
      <c r="B166" s="3" t="s">
        <v>263</v>
      </c>
      <c r="J166" s="9">
        <v>345.0</v>
      </c>
      <c r="K166" s="9">
        <v>330.0</v>
      </c>
    </row>
    <row r="167">
      <c r="B167" s="3" t="s">
        <v>264</v>
      </c>
      <c r="J167" s="9">
        <v>130.0</v>
      </c>
      <c r="K167" s="9">
        <v>125.0</v>
      </c>
    </row>
    <row r="168">
      <c r="B168" s="3" t="s">
        <v>265</v>
      </c>
      <c r="J168" s="5">
        <v>750.0</v>
      </c>
      <c r="K168" s="5">
        <v>700.0</v>
      </c>
    </row>
    <row r="169">
      <c r="B169" s="3" t="s">
        <v>266</v>
      </c>
      <c r="J169" s="5">
        <v>100.0</v>
      </c>
      <c r="K169" s="5">
        <v>95.0</v>
      </c>
    </row>
    <row r="170">
      <c r="B170" s="3" t="s">
        <v>267</v>
      </c>
      <c r="J170" s="5">
        <v>90.0</v>
      </c>
      <c r="K170" s="5">
        <v>90.0</v>
      </c>
    </row>
    <row r="171">
      <c r="B171" s="3" t="s">
        <v>268</v>
      </c>
      <c r="J171" s="9">
        <v>200.0</v>
      </c>
      <c r="K171" s="9">
        <v>200.0</v>
      </c>
    </row>
    <row r="172">
      <c r="B172" s="3" t="s">
        <v>269</v>
      </c>
      <c r="J172" s="9">
        <v>335.0</v>
      </c>
      <c r="K172" s="9">
        <v>320.0</v>
      </c>
    </row>
    <row r="173">
      <c r="B173" s="3" t="s">
        <v>270</v>
      </c>
      <c r="J173" s="5">
        <v>4.0</v>
      </c>
      <c r="K173" s="5">
        <v>4.0</v>
      </c>
    </row>
    <row r="174">
      <c r="B174" s="3" t="s">
        <v>271</v>
      </c>
      <c r="J174" s="9">
        <v>95.0</v>
      </c>
      <c r="K174" s="9">
        <v>95.0</v>
      </c>
    </row>
    <row r="175">
      <c r="B175" s="3" t="s">
        <v>272</v>
      </c>
      <c r="J175" s="5">
        <v>200.0</v>
      </c>
      <c r="K175" s="5">
        <f>I175-(I175*5%)</f>
        <v>0</v>
      </c>
    </row>
    <row r="176">
      <c r="B176" s="3" t="s">
        <v>273</v>
      </c>
      <c r="J176" s="5">
        <v>240.0</v>
      </c>
      <c r="K176" s="5">
        <v>240.0</v>
      </c>
    </row>
    <row r="177">
      <c r="B177" s="3" t="s">
        <v>274</v>
      </c>
      <c r="J177" s="5">
        <v>90.0</v>
      </c>
      <c r="K177" s="5">
        <v>90.0</v>
      </c>
    </row>
    <row r="178">
      <c r="B178" s="3" t="s">
        <v>275</v>
      </c>
      <c r="J178" s="9">
        <v>360.0</v>
      </c>
      <c r="K178" s="9">
        <v>350.0</v>
      </c>
    </row>
    <row r="179">
      <c r="B179" s="3" t="s">
        <v>276</v>
      </c>
      <c r="J179" s="9">
        <v>240.0</v>
      </c>
      <c r="K179" s="9">
        <v>240.0</v>
      </c>
    </row>
    <row r="180">
      <c r="B180" s="3" t="s">
        <v>277</v>
      </c>
      <c r="J180" s="9">
        <v>75.0</v>
      </c>
      <c r="K180" s="9">
        <v>75.0</v>
      </c>
    </row>
    <row r="181">
      <c r="B181" s="3" t="s">
        <v>278</v>
      </c>
      <c r="J181" s="5">
        <v>4.0</v>
      </c>
      <c r="K181" s="5">
        <v>4.0</v>
      </c>
    </row>
    <row r="182">
      <c r="B182" s="3" t="s">
        <v>279</v>
      </c>
      <c r="J182" s="5"/>
      <c r="K182" s="5">
        <v>310.0</v>
      </c>
    </row>
    <row r="183">
      <c r="B183" s="3" t="s">
        <v>280</v>
      </c>
      <c r="J183" s="5">
        <v>200.0</v>
      </c>
      <c r="K183" s="5">
        <f t="shared" ref="K183:K184" si="3">I183-(I183*5%)</f>
        <v>0</v>
      </c>
    </row>
    <row r="184">
      <c r="B184" s="11" t="s">
        <v>281</v>
      </c>
      <c r="J184" s="16">
        <v>95.0</v>
      </c>
      <c r="K184" s="5">
        <f t="shared" si="3"/>
        <v>0</v>
      </c>
    </row>
    <row r="185">
      <c r="B185" s="3" t="s">
        <v>267</v>
      </c>
      <c r="J185" s="5">
        <v>90.0</v>
      </c>
      <c r="K185" s="5">
        <v>90.0</v>
      </c>
    </row>
    <row r="186">
      <c r="B186" s="3" t="s">
        <v>282</v>
      </c>
      <c r="J186" s="9">
        <v>225.0</v>
      </c>
      <c r="K186" s="9">
        <v>225.0</v>
      </c>
    </row>
    <row r="187">
      <c r="B187" s="3" t="s">
        <v>283</v>
      </c>
      <c r="J187" s="5">
        <v>130.0</v>
      </c>
      <c r="K187" s="5">
        <v>130.0</v>
      </c>
    </row>
    <row r="188">
      <c r="B188" s="3" t="s">
        <v>284</v>
      </c>
      <c r="J188" s="9">
        <v>10.0</v>
      </c>
      <c r="K188" s="9">
        <v>10.0</v>
      </c>
    </row>
    <row r="189">
      <c r="B189" s="3" t="s">
        <v>285</v>
      </c>
      <c r="J189" s="9">
        <v>30.0</v>
      </c>
      <c r="K189" s="9">
        <v>30.0</v>
      </c>
    </row>
    <row r="190">
      <c r="B190" s="3" t="s">
        <v>286</v>
      </c>
      <c r="J190" s="9">
        <v>20.0</v>
      </c>
      <c r="K190" s="9">
        <v>20.0</v>
      </c>
    </row>
    <row r="191">
      <c r="B191" s="3" t="s">
        <v>287</v>
      </c>
      <c r="J191" s="5"/>
      <c r="K191" s="10">
        <v>900.0</v>
      </c>
    </row>
    <row r="192">
      <c r="B192" s="3" t="s">
        <v>288</v>
      </c>
      <c r="J192" s="5">
        <v>50.0</v>
      </c>
      <c r="K192" s="5">
        <v>50.0</v>
      </c>
    </row>
    <row r="193">
      <c r="B193" s="3" t="s">
        <v>289</v>
      </c>
      <c r="J193" s="5">
        <v>180.0</v>
      </c>
      <c r="K193" s="5">
        <v>180.0</v>
      </c>
    </row>
    <row r="194">
      <c r="B194" s="3" t="s">
        <v>290</v>
      </c>
      <c r="J194" s="5">
        <v>150.0</v>
      </c>
      <c r="K194" s="5">
        <v>130.0</v>
      </c>
    </row>
    <row r="195">
      <c r="B195" s="3" t="s">
        <v>291</v>
      </c>
      <c r="J195" s="5"/>
      <c r="K195" s="5">
        <v>160.0</v>
      </c>
    </row>
    <row r="196">
      <c r="B196" s="3" t="s">
        <v>292</v>
      </c>
      <c r="J196" s="9">
        <v>28.0</v>
      </c>
      <c r="K196" s="9">
        <v>28.0</v>
      </c>
    </row>
    <row r="197">
      <c r="B197" s="3" t="s">
        <v>293</v>
      </c>
      <c r="J197" s="5">
        <v>2.0</v>
      </c>
      <c r="K197" s="5">
        <v>350.0</v>
      </c>
    </row>
    <row r="198">
      <c r="B198" s="3" t="s">
        <v>294</v>
      </c>
      <c r="J198" s="9">
        <v>240.0</v>
      </c>
      <c r="K198" s="9">
        <v>240.0</v>
      </c>
    </row>
    <row r="199">
      <c r="B199" s="3" t="s">
        <v>295</v>
      </c>
      <c r="J199" s="5">
        <v>50.0</v>
      </c>
      <c r="K199" s="5">
        <v>50.0</v>
      </c>
    </row>
    <row r="200">
      <c r="B200" s="3" t="s">
        <v>296</v>
      </c>
      <c r="J200" s="9">
        <v>375.0</v>
      </c>
      <c r="K200" s="9">
        <v>400.0</v>
      </c>
    </row>
    <row r="201">
      <c r="B201" s="3" t="s">
        <v>297</v>
      </c>
      <c r="J201" s="5">
        <v>360.0</v>
      </c>
      <c r="K201" s="5">
        <v>360.0</v>
      </c>
    </row>
    <row r="202">
      <c r="B202" s="3" t="s">
        <v>298</v>
      </c>
      <c r="J202" s="9">
        <v>65.0</v>
      </c>
      <c r="K202" s="9">
        <v>65.0</v>
      </c>
    </row>
    <row r="203">
      <c r="B203" s="3" t="s">
        <v>299</v>
      </c>
      <c r="J203" s="5">
        <v>155.0</v>
      </c>
      <c r="K203" s="5">
        <f>I203-(I203*5%)</f>
        <v>0</v>
      </c>
    </row>
    <row r="204">
      <c r="B204" s="3" t="s">
        <v>300</v>
      </c>
      <c r="J204" s="9">
        <v>230.0</v>
      </c>
      <c r="K204" s="9">
        <v>230.0</v>
      </c>
    </row>
    <row r="205">
      <c r="B205" s="3" t="s">
        <v>301</v>
      </c>
      <c r="J205" s="5">
        <v>240.0</v>
      </c>
      <c r="K205" s="5">
        <v>240.0</v>
      </c>
    </row>
    <row r="206">
      <c r="B206" s="3" t="s">
        <v>302</v>
      </c>
      <c r="J206" s="5">
        <v>2.0</v>
      </c>
      <c r="K206" s="5">
        <v>350.0</v>
      </c>
    </row>
    <row r="207">
      <c r="B207" s="3" t="s">
        <v>303</v>
      </c>
      <c r="J207" s="9">
        <v>240.0</v>
      </c>
      <c r="K207" s="9">
        <v>240.0</v>
      </c>
    </row>
    <row r="208">
      <c r="B208" s="3" t="s">
        <v>304</v>
      </c>
      <c r="J208" s="5">
        <v>50.0</v>
      </c>
      <c r="K208" s="5">
        <v>50.0</v>
      </c>
    </row>
    <row r="209">
      <c r="B209" s="3" t="s">
        <v>305</v>
      </c>
      <c r="J209" s="5"/>
      <c r="K209" s="5">
        <v>400.0</v>
      </c>
    </row>
    <row r="210">
      <c r="B210" s="3" t="s">
        <v>306</v>
      </c>
      <c r="J210" s="5">
        <v>90.0</v>
      </c>
      <c r="K210" s="5">
        <v>90.0</v>
      </c>
    </row>
    <row r="211">
      <c r="B211" s="3" t="s">
        <v>307</v>
      </c>
      <c r="J211" s="9">
        <v>95.0</v>
      </c>
      <c r="K211" s="9">
        <v>95.0</v>
      </c>
    </row>
    <row r="212">
      <c r="B212" s="3" t="s">
        <v>308</v>
      </c>
      <c r="J212" s="9">
        <v>230.0</v>
      </c>
      <c r="K212" s="9">
        <v>230.0</v>
      </c>
    </row>
    <row r="213">
      <c r="B213" s="3" t="s">
        <v>309</v>
      </c>
      <c r="J213" s="9">
        <v>360.0</v>
      </c>
      <c r="K213" s="9">
        <v>350.0</v>
      </c>
    </row>
    <row r="214">
      <c r="B214" s="3" t="s">
        <v>310</v>
      </c>
      <c r="J214" s="9">
        <v>185.0</v>
      </c>
      <c r="K214" s="9">
        <v>180.0</v>
      </c>
    </row>
    <row r="215">
      <c r="B215" s="3" t="s">
        <v>311</v>
      </c>
      <c r="J215" s="9">
        <v>75.0</v>
      </c>
      <c r="K215" s="9">
        <v>70.0</v>
      </c>
    </row>
    <row r="216">
      <c r="B216" s="3" t="s">
        <v>312</v>
      </c>
      <c r="J216" s="5">
        <v>50.0</v>
      </c>
      <c r="K216" s="5">
        <v>50.0</v>
      </c>
    </row>
    <row r="217">
      <c r="B217" s="3" t="s">
        <v>313</v>
      </c>
      <c r="J217" s="9">
        <v>80.0</v>
      </c>
      <c r="K217" s="9">
        <v>80.0</v>
      </c>
    </row>
    <row r="218">
      <c r="B218" s="3" t="s">
        <v>314</v>
      </c>
      <c r="J218" s="9">
        <v>18.0</v>
      </c>
      <c r="K218" s="9">
        <v>15.0</v>
      </c>
    </row>
    <row r="219">
      <c r="B219" s="3" t="s">
        <v>53</v>
      </c>
      <c r="J219" s="5">
        <v>50.0</v>
      </c>
      <c r="K219" s="5">
        <v>50.0</v>
      </c>
    </row>
    <row r="220">
      <c r="B220" s="3" t="s">
        <v>315</v>
      </c>
      <c r="J220" s="5"/>
      <c r="K220" s="5">
        <v>450.0</v>
      </c>
    </row>
    <row r="221">
      <c r="B221" s="3" t="s">
        <v>316</v>
      </c>
      <c r="J221" s="5"/>
      <c r="K221" s="10">
        <v>950.0</v>
      </c>
    </row>
    <row r="222">
      <c r="B222" s="3" t="s">
        <v>317</v>
      </c>
      <c r="J222" s="9">
        <v>70.0</v>
      </c>
      <c r="K222" s="9">
        <v>67.0</v>
      </c>
    </row>
    <row r="223">
      <c r="B223" s="3" t="s">
        <v>318</v>
      </c>
      <c r="J223" s="5"/>
      <c r="K223" s="5">
        <v>30.0</v>
      </c>
    </row>
    <row r="224">
      <c r="B224" s="3" t="s">
        <v>319</v>
      </c>
      <c r="J224" s="5">
        <v>50.0</v>
      </c>
      <c r="K224" s="5">
        <v>50.0</v>
      </c>
    </row>
    <row r="225">
      <c r="B225" s="3" t="s">
        <v>320</v>
      </c>
      <c r="J225" s="9">
        <v>50.0</v>
      </c>
      <c r="K225" s="9">
        <v>50.0</v>
      </c>
    </row>
    <row r="226">
      <c r="B226" s="3" t="s">
        <v>321</v>
      </c>
      <c r="J226" s="5">
        <v>20.0</v>
      </c>
      <c r="K226" s="5">
        <v>20.0</v>
      </c>
    </row>
    <row r="227">
      <c r="B227" s="3" t="s">
        <v>322</v>
      </c>
      <c r="J227" s="5"/>
      <c r="K227" s="5">
        <v>62.0</v>
      </c>
    </row>
    <row r="228">
      <c r="B228" s="3" t="s">
        <v>323</v>
      </c>
      <c r="J228" s="5">
        <v>50.0</v>
      </c>
      <c r="K228" s="5">
        <v>50.0</v>
      </c>
    </row>
    <row r="229">
      <c r="B229" s="3" t="s">
        <v>324</v>
      </c>
      <c r="J229" s="5">
        <v>500.0</v>
      </c>
      <c r="K229" s="5">
        <v>490.0</v>
      </c>
    </row>
    <row r="230">
      <c r="B230" s="3" t="s">
        <v>325</v>
      </c>
      <c r="J230" s="9">
        <v>50.0</v>
      </c>
      <c r="K230" s="9">
        <v>48.0</v>
      </c>
    </row>
    <row r="231">
      <c r="B231" s="3" t="s">
        <v>326</v>
      </c>
      <c r="J231" s="5"/>
      <c r="K231" s="5">
        <v>170.0</v>
      </c>
    </row>
    <row r="232">
      <c r="B232" s="3" t="s">
        <v>327</v>
      </c>
      <c r="J232" s="5"/>
      <c r="K232" s="5">
        <v>50.0</v>
      </c>
    </row>
    <row r="233">
      <c r="B233" s="3" t="s">
        <v>328</v>
      </c>
      <c r="J233" s="9">
        <v>30.0</v>
      </c>
      <c r="K233" s="9">
        <v>30.0</v>
      </c>
    </row>
    <row r="234">
      <c r="B234" s="3" t="s">
        <v>329</v>
      </c>
      <c r="J234" s="5">
        <v>40.0</v>
      </c>
      <c r="K234" s="5">
        <v>40.0</v>
      </c>
    </row>
    <row r="235">
      <c r="B235" s="3" t="s">
        <v>330</v>
      </c>
      <c r="J235" s="5"/>
      <c r="K235" s="5">
        <v>49.0</v>
      </c>
    </row>
    <row r="236">
      <c r="B236" s="3" t="s">
        <v>331</v>
      </c>
      <c r="J236" s="5">
        <v>233.0</v>
      </c>
      <c r="K236" s="5">
        <f t="shared" ref="K236:K237" si="4">I236-(I236*5%)</f>
        <v>0</v>
      </c>
    </row>
    <row r="237">
      <c r="B237" s="3" t="s">
        <v>332</v>
      </c>
      <c r="J237" s="9">
        <v>40.0</v>
      </c>
      <c r="K237" s="9">
        <f t="shared" si="4"/>
        <v>0</v>
      </c>
    </row>
    <row r="238">
      <c r="B238" s="3" t="s">
        <v>333</v>
      </c>
      <c r="J238" s="5">
        <v>550.0</v>
      </c>
      <c r="K238" s="5">
        <v>530.0</v>
      </c>
    </row>
    <row r="239">
      <c r="B239" s="3" t="s">
        <v>334</v>
      </c>
      <c r="J239" s="9">
        <v>230.0</v>
      </c>
      <c r="K239" s="9">
        <v>230.0</v>
      </c>
    </row>
    <row r="240">
      <c r="B240" s="3" t="s">
        <v>335</v>
      </c>
      <c r="J240" s="5"/>
      <c r="K240" s="5">
        <v>500.0</v>
      </c>
    </row>
    <row r="241">
      <c r="B241" s="3" t="s">
        <v>336</v>
      </c>
      <c r="J241" s="9">
        <v>40.0</v>
      </c>
      <c r="K241" s="9">
        <v>40.0</v>
      </c>
    </row>
    <row r="242">
      <c r="B242" s="3" t="s">
        <v>337</v>
      </c>
      <c r="J242" s="9">
        <v>300.0</v>
      </c>
      <c r="K242" s="9">
        <v>295.0</v>
      </c>
    </row>
    <row r="243">
      <c r="B243" s="3" t="s">
        <v>338</v>
      </c>
      <c r="J243" s="5"/>
      <c r="K243" s="5">
        <v>20.0</v>
      </c>
    </row>
    <row r="244">
      <c r="B244" s="3" t="s">
        <v>339</v>
      </c>
      <c r="J244" s="5"/>
      <c r="K244" s="10">
        <v>160.0</v>
      </c>
    </row>
    <row r="245">
      <c r="B245" s="3" t="s">
        <v>340</v>
      </c>
      <c r="J245" s="5">
        <v>250.0</v>
      </c>
      <c r="K245" s="5">
        <v>250.0</v>
      </c>
    </row>
    <row r="246">
      <c r="B246" s="3" t="s">
        <v>341</v>
      </c>
      <c r="J246" s="5">
        <v>90.0</v>
      </c>
      <c r="K246" s="5">
        <v>85.0</v>
      </c>
    </row>
    <row r="247">
      <c r="B247" s="3" t="s">
        <v>342</v>
      </c>
      <c r="J247" s="9">
        <v>230.0</v>
      </c>
      <c r="K247" s="9">
        <v>230.0</v>
      </c>
    </row>
    <row r="248">
      <c r="B248" s="3" t="s">
        <v>343</v>
      </c>
      <c r="J248" s="5"/>
      <c r="K248" s="5">
        <v>200.0</v>
      </c>
    </row>
    <row r="249">
      <c r="B249" s="3" t="s">
        <v>344</v>
      </c>
      <c r="J249" s="9">
        <v>75.0</v>
      </c>
      <c r="K249" s="9">
        <v>75.0</v>
      </c>
    </row>
    <row r="250">
      <c r="B250" s="3" t="s">
        <v>345</v>
      </c>
      <c r="J250" s="5">
        <v>100.0</v>
      </c>
      <c r="K250" s="5">
        <v>95.0</v>
      </c>
    </row>
    <row r="251">
      <c r="B251" s="3" t="s">
        <v>346</v>
      </c>
      <c r="J251" s="5"/>
      <c r="K251" s="5">
        <v>20.0</v>
      </c>
    </row>
    <row r="252">
      <c r="B252" s="3" t="s">
        <v>347</v>
      </c>
      <c r="J252" s="5">
        <v>60.0</v>
      </c>
      <c r="K252" s="5">
        <v>60.0</v>
      </c>
    </row>
    <row r="253">
      <c r="B253" s="3" t="s">
        <v>348</v>
      </c>
      <c r="J253" s="5">
        <v>90.0</v>
      </c>
      <c r="K253" s="5">
        <v>88.0</v>
      </c>
    </row>
    <row r="254">
      <c r="B254" s="3" t="s">
        <v>349</v>
      </c>
      <c r="J254" s="5"/>
      <c r="K254" s="5">
        <v>30.0</v>
      </c>
    </row>
    <row r="255">
      <c r="B255" s="3" t="s">
        <v>350</v>
      </c>
      <c r="J255" s="9">
        <v>30.0</v>
      </c>
      <c r="K255" s="9">
        <v>30.0</v>
      </c>
    </row>
    <row r="256">
      <c r="B256" s="3" t="s">
        <v>351</v>
      </c>
      <c r="J256" s="9">
        <v>10.0</v>
      </c>
      <c r="K256" s="9">
        <v>10.0</v>
      </c>
    </row>
    <row r="257">
      <c r="B257" s="3" t="s">
        <v>352</v>
      </c>
      <c r="J257" s="5"/>
      <c r="K257" s="5">
        <v>45.0</v>
      </c>
    </row>
    <row r="258">
      <c r="B258" s="3" t="s">
        <v>353</v>
      </c>
      <c r="J258" s="5">
        <v>20.0</v>
      </c>
      <c r="K258" s="5">
        <v>20.0</v>
      </c>
    </row>
    <row r="259">
      <c r="B259" s="3" t="s">
        <v>354</v>
      </c>
      <c r="J259" s="5">
        <v>60.0</v>
      </c>
      <c r="K259" s="5">
        <v>60.0</v>
      </c>
    </row>
    <row r="260">
      <c r="B260" s="3" t="s">
        <v>355</v>
      </c>
      <c r="J260" s="9">
        <v>38.0</v>
      </c>
      <c r="K260" s="9">
        <v>35.0</v>
      </c>
    </row>
    <row r="261">
      <c r="B261" s="3" t="s">
        <v>356</v>
      </c>
      <c r="J261" s="9">
        <v>180.0</v>
      </c>
      <c r="K261" s="9">
        <v>175.0</v>
      </c>
    </row>
    <row r="262">
      <c r="B262" s="3" t="s">
        <v>357</v>
      </c>
      <c r="J262" s="5"/>
      <c r="K262" s="5">
        <v>35.0</v>
      </c>
    </row>
    <row r="263">
      <c r="B263" s="3" t="s">
        <v>358</v>
      </c>
      <c r="J263" s="9">
        <v>60.0</v>
      </c>
      <c r="K263" s="9">
        <v>60.0</v>
      </c>
    </row>
    <row r="264">
      <c r="B264" s="3" t="s">
        <v>359</v>
      </c>
      <c r="J264" s="9">
        <v>10.0</v>
      </c>
      <c r="K264" s="9">
        <v>10.0</v>
      </c>
    </row>
    <row r="265">
      <c r="B265" s="3" t="s">
        <v>360</v>
      </c>
      <c r="J265" s="5"/>
      <c r="K265" s="5">
        <v>450.0</v>
      </c>
    </row>
    <row r="266">
      <c r="B266" s="3" t="s">
        <v>361</v>
      </c>
      <c r="J266" s="5"/>
      <c r="K266" s="5">
        <v>100.0</v>
      </c>
    </row>
    <row r="267">
      <c r="B267" s="3" t="s">
        <v>362</v>
      </c>
      <c r="J267" s="5">
        <v>400.0</v>
      </c>
      <c r="K267" s="5">
        <v>400.0</v>
      </c>
    </row>
    <row r="268">
      <c r="B268" s="3" t="s">
        <v>363</v>
      </c>
      <c r="J268" s="5">
        <v>110.0</v>
      </c>
      <c r="K268" s="5">
        <v>110.0</v>
      </c>
    </row>
    <row r="269">
      <c r="B269" s="3" t="s">
        <v>364</v>
      </c>
      <c r="J269" s="9">
        <v>180.0</v>
      </c>
      <c r="K269" s="9">
        <v>175.0</v>
      </c>
    </row>
    <row r="270">
      <c r="B270" s="3" t="s">
        <v>365</v>
      </c>
      <c r="J270" s="9">
        <v>30.0</v>
      </c>
      <c r="K270" s="9">
        <v>30.0</v>
      </c>
    </row>
    <row r="271">
      <c r="B271" s="3" t="s">
        <v>366</v>
      </c>
      <c r="J271" s="9">
        <v>10.0</v>
      </c>
      <c r="K271" s="9">
        <v>10.0</v>
      </c>
    </row>
    <row r="272">
      <c r="B272" s="3" t="s">
        <v>367</v>
      </c>
      <c r="J272" s="5">
        <v>20.0</v>
      </c>
      <c r="K272" s="5">
        <v>20.0</v>
      </c>
    </row>
    <row r="273">
      <c r="B273" s="3" t="s">
        <v>368</v>
      </c>
      <c r="J273" s="5">
        <v>40.0</v>
      </c>
      <c r="K273" s="5">
        <v>38.0</v>
      </c>
    </row>
    <row r="274">
      <c r="B274" s="3" t="s">
        <v>369</v>
      </c>
      <c r="J274" s="5"/>
      <c r="K274" s="5">
        <v>85.0</v>
      </c>
    </row>
    <row r="275">
      <c r="B275" s="3" t="s">
        <v>370</v>
      </c>
      <c r="J275" s="5"/>
      <c r="K275" s="5">
        <v>1100.0</v>
      </c>
    </row>
    <row r="276">
      <c r="B276" s="3" t="s">
        <v>371</v>
      </c>
      <c r="J276" s="5">
        <v>110.0</v>
      </c>
      <c r="K276" s="5">
        <v>105.0</v>
      </c>
    </row>
    <row r="277">
      <c r="B277" s="3" t="s">
        <v>372</v>
      </c>
      <c r="J277" s="9">
        <v>120.0</v>
      </c>
      <c r="K277" s="9">
        <v>120.0</v>
      </c>
    </row>
    <row r="278">
      <c r="B278" s="3" t="s">
        <v>373</v>
      </c>
      <c r="J278" s="9">
        <v>5.0</v>
      </c>
      <c r="K278" s="9">
        <v>5.0</v>
      </c>
    </row>
    <row r="279">
      <c r="B279" s="3" t="s">
        <v>374</v>
      </c>
      <c r="J279" s="5">
        <v>75.0</v>
      </c>
      <c r="K279" s="5">
        <v>75.0</v>
      </c>
    </row>
    <row r="280">
      <c r="B280" s="3" t="s">
        <v>375</v>
      </c>
      <c r="J280" s="5"/>
      <c r="K280" s="5">
        <v>59.0</v>
      </c>
    </row>
    <row r="281">
      <c r="B281" s="3" t="s">
        <v>376</v>
      </c>
      <c r="J281" s="9">
        <v>85.0</v>
      </c>
      <c r="K281" s="9">
        <v>85.0</v>
      </c>
    </row>
    <row r="282">
      <c r="B282" s="3" t="s">
        <v>377</v>
      </c>
      <c r="J282" s="5"/>
      <c r="K282" s="5">
        <v>1100.0</v>
      </c>
    </row>
    <row r="283">
      <c r="B283" s="3" t="s">
        <v>378</v>
      </c>
      <c r="J283" s="9">
        <v>145.0</v>
      </c>
      <c r="K283" s="9">
        <v>140.0</v>
      </c>
    </row>
    <row r="284">
      <c r="B284" s="3" t="s">
        <v>379</v>
      </c>
      <c r="J284" s="9">
        <v>120.0</v>
      </c>
      <c r="K284" s="9">
        <v>120.0</v>
      </c>
    </row>
    <row r="285">
      <c r="B285" s="3" t="s">
        <v>380</v>
      </c>
      <c r="J285" s="9">
        <v>10.0</v>
      </c>
      <c r="K285" s="9">
        <v>10.0</v>
      </c>
    </row>
    <row r="286">
      <c r="B286" s="3" t="s">
        <v>381</v>
      </c>
      <c r="J286" s="5"/>
      <c r="K286" s="5">
        <v>110.0</v>
      </c>
    </row>
    <row r="287">
      <c r="B287" s="3" t="s">
        <v>382</v>
      </c>
      <c r="J287" s="5">
        <v>55.0</v>
      </c>
      <c r="K287" s="5">
        <v>50.0</v>
      </c>
    </row>
    <row r="288">
      <c r="B288" s="3" t="s">
        <v>383</v>
      </c>
      <c r="J288" s="9">
        <v>25.0</v>
      </c>
      <c r="K288" s="9">
        <v>22.0</v>
      </c>
    </row>
    <row r="289">
      <c r="B289" s="3" t="s">
        <v>384</v>
      </c>
      <c r="J289" s="9">
        <v>80.0</v>
      </c>
      <c r="K289" s="9">
        <v>80.0</v>
      </c>
    </row>
    <row r="290">
      <c r="B290" s="3" t="s">
        <v>385</v>
      </c>
      <c r="J290" s="9">
        <v>100.0</v>
      </c>
      <c r="K290" s="9">
        <v>98.0</v>
      </c>
    </row>
    <row r="291">
      <c r="B291" s="3" t="s">
        <v>386</v>
      </c>
      <c r="J291" s="5"/>
      <c r="K291" s="5">
        <v>60.0</v>
      </c>
    </row>
    <row r="292">
      <c r="B292" s="3" t="s">
        <v>387</v>
      </c>
      <c r="J292" s="9">
        <v>100.0</v>
      </c>
      <c r="K292" s="9">
        <v>95.0</v>
      </c>
    </row>
    <row r="293">
      <c r="B293" s="3" t="s">
        <v>388</v>
      </c>
      <c r="J293" s="5">
        <v>485.0</v>
      </c>
      <c r="K293" s="5">
        <v>460.0</v>
      </c>
    </row>
    <row r="294">
      <c r="B294" s="3" t="s">
        <v>389</v>
      </c>
      <c r="J294" s="5"/>
      <c r="K294" s="5">
        <v>30.0</v>
      </c>
    </row>
    <row r="295">
      <c r="B295" s="3" t="s">
        <v>390</v>
      </c>
      <c r="J295" s="9">
        <v>40.0</v>
      </c>
      <c r="K295" s="9">
        <v>40.0</v>
      </c>
    </row>
    <row r="296">
      <c r="B296" s="3" t="s">
        <v>391</v>
      </c>
      <c r="J296" s="5"/>
      <c r="K296" s="5">
        <v>350.0</v>
      </c>
    </row>
    <row r="297">
      <c r="B297" s="3" t="s">
        <v>392</v>
      </c>
      <c r="J297" s="5"/>
      <c r="K297" s="5">
        <v>30.0</v>
      </c>
    </row>
    <row r="298">
      <c r="B298" s="3" t="s">
        <v>393</v>
      </c>
      <c r="J298" s="5">
        <v>50.0</v>
      </c>
      <c r="K298" s="5">
        <v>50.0</v>
      </c>
    </row>
    <row r="299">
      <c r="B299" s="3" t="s">
        <v>394</v>
      </c>
      <c r="J299" s="5"/>
      <c r="K299" s="5">
        <v>35.0</v>
      </c>
    </row>
    <row r="300">
      <c r="B300" s="3" t="s">
        <v>395</v>
      </c>
      <c r="J300" s="5"/>
      <c r="K300" s="5">
        <v>10.0</v>
      </c>
    </row>
    <row r="301">
      <c r="B301" s="3" t="s">
        <v>396</v>
      </c>
      <c r="J301" s="9">
        <v>20.0</v>
      </c>
      <c r="K301" s="9">
        <v>20.0</v>
      </c>
    </row>
    <row r="302">
      <c r="B302" s="3" t="s">
        <v>397</v>
      </c>
      <c r="J302" s="5"/>
      <c r="K302" s="5">
        <v>160.0</v>
      </c>
    </row>
    <row r="303">
      <c r="B303" s="3" t="s">
        <v>398</v>
      </c>
      <c r="J303" s="9">
        <v>60.0</v>
      </c>
      <c r="K303" s="9">
        <v>60.0</v>
      </c>
    </row>
    <row r="304">
      <c r="B304" s="3" t="s">
        <v>399</v>
      </c>
      <c r="J304" s="5">
        <v>150.0</v>
      </c>
      <c r="K304" s="5">
        <v>150.0</v>
      </c>
    </row>
    <row r="305">
      <c r="B305" s="3" t="s">
        <v>400</v>
      </c>
      <c r="J305" s="5"/>
      <c r="K305" s="5">
        <v>295.0</v>
      </c>
    </row>
    <row r="306">
      <c r="B306" s="3" t="s">
        <v>401</v>
      </c>
      <c r="J306" s="9">
        <v>30.0</v>
      </c>
      <c r="K306" s="5">
        <v>28.0</v>
      </c>
    </row>
    <row r="307">
      <c r="B307" s="3" t="s">
        <v>402</v>
      </c>
      <c r="J307" s="9">
        <v>145.0</v>
      </c>
      <c r="K307" s="9">
        <v>145.0</v>
      </c>
    </row>
    <row r="308">
      <c r="B308" s="3" t="s">
        <v>403</v>
      </c>
      <c r="J308" s="5"/>
      <c r="K308" s="5">
        <v>160.0</v>
      </c>
    </row>
    <row r="309">
      <c r="B309" s="3" t="s">
        <v>404</v>
      </c>
      <c r="J309" s="9">
        <v>75.0</v>
      </c>
      <c r="K309" s="9">
        <v>72.0</v>
      </c>
    </row>
    <row r="310">
      <c r="B310" s="3" t="s">
        <v>405</v>
      </c>
      <c r="J310" s="5"/>
      <c r="K310" s="5">
        <v>295.0</v>
      </c>
    </row>
    <row r="311">
      <c r="B311" s="3" t="s">
        <v>406</v>
      </c>
      <c r="J311" s="5"/>
      <c r="K311" s="5">
        <v>190.0</v>
      </c>
    </row>
    <row r="312">
      <c r="B312" s="3" t="s">
        <v>407</v>
      </c>
      <c r="J312" s="9">
        <v>60.0</v>
      </c>
      <c r="K312" s="9">
        <v>58.0</v>
      </c>
    </row>
    <row r="313">
      <c r="B313" s="3" t="s">
        <v>408</v>
      </c>
      <c r="J313" s="5"/>
      <c r="K313" s="5">
        <v>160.0</v>
      </c>
    </row>
    <row r="314">
      <c r="B314" s="3" t="s">
        <v>409</v>
      </c>
      <c r="J314" s="9">
        <v>18.0</v>
      </c>
      <c r="K314" s="9">
        <v>18.0</v>
      </c>
    </row>
    <row r="315">
      <c r="B315" s="3" t="s">
        <v>410</v>
      </c>
      <c r="J315" s="5">
        <v>950.0</v>
      </c>
      <c r="K315" s="5">
        <v>950.0</v>
      </c>
    </row>
    <row r="316">
      <c r="B316" s="3" t="s">
        <v>411</v>
      </c>
      <c r="J316" s="9">
        <v>80.0</v>
      </c>
      <c r="K316" s="9">
        <v>80.0</v>
      </c>
    </row>
    <row r="317">
      <c r="B317" s="3" t="s">
        <v>412</v>
      </c>
      <c r="J317" s="5">
        <v>135.0</v>
      </c>
      <c r="K317" s="5">
        <v>130.0</v>
      </c>
    </row>
    <row r="318">
      <c r="B318" s="3" t="s">
        <v>318</v>
      </c>
      <c r="J318" s="5"/>
      <c r="K318" s="5">
        <v>30.0</v>
      </c>
    </row>
    <row r="319">
      <c r="B319" s="3" t="s">
        <v>413</v>
      </c>
      <c r="J319" s="5">
        <v>950.0</v>
      </c>
      <c r="K319" s="5">
        <v>950.0</v>
      </c>
    </row>
    <row r="320">
      <c r="B320" s="3" t="s">
        <v>414</v>
      </c>
      <c r="J320" s="5"/>
      <c r="K320" s="5">
        <v>240.0</v>
      </c>
    </row>
    <row r="321">
      <c r="B321" s="3" t="s">
        <v>415</v>
      </c>
      <c r="J321" s="9">
        <v>55.0</v>
      </c>
      <c r="K321" s="9">
        <v>55.0</v>
      </c>
    </row>
    <row r="322">
      <c r="B322" s="3" t="s">
        <v>416</v>
      </c>
      <c r="J322" s="5"/>
      <c r="K322" s="5">
        <v>100.0</v>
      </c>
    </row>
    <row r="323">
      <c r="B323" s="3" t="s">
        <v>417</v>
      </c>
      <c r="J323" s="5"/>
      <c r="K323" s="5">
        <v>1100.0</v>
      </c>
    </row>
    <row r="324">
      <c r="B324" s="3" t="s">
        <v>418</v>
      </c>
      <c r="J324" s="5"/>
      <c r="K324" s="5">
        <v>290.0</v>
      </c>
    </row>
    <row r="325">
      <c r="B325" s="3" t="s">
        <v>419</v>
      </c>
      <c r="J325" s="5">
        <v>50.0</v>
      </c>
      <c r="K325" s="5">
        <v>50.0</v>
      </c>
    </row>
    <row r="326">
      <c r="B326" s="3" t="s">
        <v>420</v>
      </c>
      <c r="J326" s="5"/>
      <c r="K326" s="5">
        <v>40.0</v>
      </c>
    </row>
    <row r="327">
      <c r="B327" s="3" t="s">
        <v>421</v>
      </c>
      <c r="J327" s="5">
        <v>355.0</v>
      </c>
      <c r="K327" s="5">
        <v>345.0</v>
      </c>
    </row>
    <row r="328">
      <c r="B328" s="3" t="s">
        <v>422</v>
      </c>
      <c r="J328" s="5"/>
      <c r="K328" s="5">
        <v>1000.0</v>
      </c>
    </row>
    <row r="329">
      <c r="B329" s="3" t="s">
        <v>423</v>
      </c>
      <c r="J329" s="5">
        <v>50.0</v>
      </c>
      <c r="K329" s="5">
        <v>50.0</v>
      </c>
    </row>
    <row r="330">
      <c r="B330" s="3" t="s">
        <v>424</v>
      </c>
      <c r="J330" s="9">
        <v>130.0</v>
      </c>
      <c r="K330" s="9">
        <v>130.0</v>
      </c>
    </row>
    <row r="331">
      <c r="B331" s="3" t="s">
        <v>425</v>
      </c>
      <c r="J331" s="5">
        <v>355.0</v>
      </c>
      <c r="K331" s="5">
        <v>345.0</v>
      </c>
    </row>
    <row r="332">
      <c r="B332" s="3" t="s">
        <v>426</v>
      </c>
      <c r="J332" s="5"/>
      <c r="K332" s="10">
        <v>15.0</v>
      </c>
    </row>
    <row r="333">
      <c r="B333" s="3" t="s">
        <v>427</v>
      </c>
      <c r="J333" s="9">
        <v>250.0</v>
      </c>
      <c r="K333" s="9">
        <v>250.0</v>
      </c>
    </row>
    <row r="334">
      <c r="B334" s="3" t="s">
        <v>428</v>
      </c>
      <c r="J334" s="9">
        <v>35.0</v>
      </c>
      <c r="K334" s="9">
        <v>35.0</v>
      </c>
    </row>
    <row r="335">
      <c r="B335" s="3" t="s">
        <v>429</v>
      </c>
      <c r="J335" s="5">
        <v>580.0</v>
      </c>
      <c r="K335" s="5">
        <v>580.0</v>
      </c>
    </row>
    <row r="336">
      <c r="B336" s="3" t="s">
        <v>430</v>
      </c>
      <c r="J336" s="5"/>
      <c r="K336" s="5">
        <v>900.0</v>
      </c>
    </row>
    <row r="337">
      <c r="B337" s="3" t="s">
        <v>431</v>
      </c>
      <c r="J337" s="9">
        <v>250.0</v>
      </c>
      <c r="K337" s="9">
        <v>250.0</v>
      </c>
    </row>
    <row r="338">
      <c r="B338" s="3" t="s">
        <v>432</v>
      </c>
      <c r="J338" s="5"/>
      <c r="K338" s="5">
        <v>165.0</v>
      </c>
    </row>
    <row r="339">
      <c r="B339" s="3" t="s">
        <v>433</v>
      </c>
      <c r="J339" s="5"/>
      <c r="K339" s="5">
        <v>105.0</v>
      </c>
    </row>
    <row r="340">
      <c r="B340" s="3" t="s">
        <v>434</v>
      </c>
      <c r="J340" s="5"/>
      <c r="K340" s="5">
        <v>900.0</v>
      </c>
    </row>
    <row r="341">
      <c r="B341" s="3" t="s">
        <v>435</v>
      </c>
      <c r="J341" s="5">
        <v>580.0</v>
      </c>
      <c r="K341" s="5">
        <v>580.0</v>
      </c>
    </row>
    <row r="342">
      <c r="B342" s="3" t="s">
        <v>436</v>
      </c>
      <c r="J342" s="5"/>
      <c r="K342" s="5">
        <v>300.0</v>
      </c>
    </row>
    <row r="343">
      <c r="B343" s="3" t="s">
        <v>437</v>
      </c>
      <c r="J343" s="5"/>
      <c r="K343" s="5">
        <v>450.0</v>
      </c>
    </row>
    <row r="344">
      <c r="B344" s="3" t="s">
        <v>438</v>
      </c>
      <c r="J344" s="5"/>
      <c r="K344" s="5">
        <v>900.0</v>
      </c>
    </row>
    <row r="345">
      <c r="B345" s="3" t="s">
        <v>439</v>
      </c>
      <c r="J345" s="5">
        <v>580.0</v>
      </c>
      <c r="K345" s="5">
        <v>580.0</v>
      </c>
    </row>
    <row r="346">
      <c r="B346" s="3" t="s">
        <v>440</v>
      </c>
      <c r="J346" s="5"/>
      <c r="K346" s="5">
        <v>300.0</v>
      </c>
    </row>
    <row r="347">
      <c r="B347" s="3" t="s">
        <v>441</v>
      </c>
      <c r="J347" s="5"/>
      <c r="K347" s="5">
        <v>450.0</v>
      </c>
    </row>
    <row r="348">
      <c r="B348" s="3" t="s">
        <v>442</v>
      </c>
      <c r="J348" s="5"/>
      <c r="K348" s="5">
        <v>900.0</v>
      </c>
    </row>
    <row r="349">
      <c r="B349" s="3" t="s">
        <v>443</v>
      </c>
      <c r="J349" s="5"/>
      <c r="K349" s="5">
        <v>150.0</v>
      </c>
    </row>
    <row r="350">
      <c r="B350" s="3" t="s">
        <v>444</v>
      </c>
      <c r="J350" s="5"/>
      <c r="K350" s="5">
        <v>300.0</v>
      </c>
    </row>
    <row r="351">
      <c r="B351" s="3" t="s">
        <v>445</v>
      </c>
      <c r="J351" s="5"/>
      <c r="K351" s="5">
        <v>100.0</v>
      </c>
    </row>
    <row r="352">
      <c r="B352" s="3" t="s">
        <v>446</v>
      </c>
      <c r="J352" s="5"/>
      <c r="K352" s="5">
        <v>900.0</v>
      </c>
    </row>
    <row r="353">
      <c r="B353" s="3" t="s">
        <v>447</v>
      </c>
      <c r="J353" s="5">
        <v>30.0</v>
      </c>
      <c r="K353" s="5">
        <f>I353-(I353*5%)</f>
        <v>0</v>
      </c>
    </row>
    <row r="354">
      <c r="B354" s="3" t="s">
        <v>448</v>
      </c>
      <c r="J354" s="5"/>
      <c r="K354" s="5">
        <v>250.0</v>
      </c>
    </row>
    <row r="355">
      <c r="B355" s="3" t="s">
        <v>449</v>
      </c>
      <c r="J355" s="5">
        <v>275.0</v>
      </c>
      <c r="K355" s="5">
        <v>265.0</v>
      </c>
    </row>
    <row r="356">
      <c r="B356" s="3" t="s">
        <v>450</v>
      </c>
      <c r="J356" s="5"/>
      <c r="K356" s="5">
        <v>170.0</v>
      </c>
    </row>
    <row r="357">
      <c r="B357" s="3" t="s">
        <v>451</v>
      </c>
      <c r="J357" s="5">
        <v>140.0</v>
      </c>
      <c r="K357" s="5">
        <v>138.0</v>
      </c>
    </row>
    <row r="358">
      <c r="B358" s="3" t="s">
        <v>293</v>
      </c>
      <c r="J358" s="5"/>
      <c r="K358" s="5">
        <v>8.0</v>
      </c>
    </row>
    <row r="359">
      <c r="B359" s="3" t="s">
        <v>452</v>
      </c>
      <c r="J359" s="5"/>
      <c r="K359" s="5">
        <v>260.0</v>
      </c>
    </row>
    <row r="360">
      <c r="B360" s="3" t="s">
        <v>453</v>
      </c>
      <c r="J360" s="5"/>
      <c r="K360" s="10">
        <v>475.0</v>
      </c>
    </row>
    <row r="361">
      <c r="B361" s="3" t="s">
        <v>454</v>
      </c>
      <c r="J361" s="5"/>
      <c r="K361" s="5">
        <v>280.0</v>
      </c>
    </row>
    <row r="362">
      <c r="B362" s="3" t="s">
        <v>455</v>
      </c>
      <c r="J362" s="5">
        <v>480.0</v>
      </c>
      <c r="K362" s="5">
        <v>480.0</v>
      </c>
    </row>
    <row r="363">
      <c r="B363" s="3" t="s">
        <v>456</v>
      </c>
      <c r="J363" s="5"/>
      <c r="K363" s="5">
        <v>380.0</v>
      </c>
    </row>
    <row r="364">
      <c r="B364" s="3" t="s">
        <v>457</v>
      </c>
      <c r="J364" s="9">
        <v>100.0</v>
      </c>
      <c r="K364" s="9">
        <v>100.0</v>
      </c>
    </row>
    <row r="365">
      <c r="B365" s="3" t="s">
        <v>458</v>
      </c>
      <c r="J365" s="5"/>
      <c r="K365" s="5">
        <v>80.0</v>
      </c>
    </row>
    <row r="366">
      <c r="B366" s="3" t="s">
        <v>459</v>
      </c>
      <c r="J366" s="5"/>
      <c r="K366" s="10">
        <v>50.0</v>
      </c>
    </row>
    <row r="367">
      <c r="B367" s="3" t="s">
        <v>460</v>
      </c>
      <c r="J367" s="5"/>
      <c r="K367" s="5">
        <v>180.0</v>
      </c>
    </row>
    <row r="368">
      <c r="B368" s="3" t="s">
        <v>461</v>
      </c>
      <c r="J368" s="5"/>
      <c r="K368" s="5">
        <v>110.0</v>
      </c>
    </row>
    <row r="369">
      <c r="B369" s="3" t="s">
        <v>462</v>
      </c>
      <c r="J369" s="5"/>
      <c r="K369" s="5">
        <v>290.0</v>
      </c>
    </row>
    <row r="370">
      <c r="B370" s="3" t="s">
        <v>463</v>
      </c>
      <c r="J370" s="5"/>
      <c r="K370" s="10">
        <v>55.0</v>
      </c>
    </row>
    <row r="371">
      <c r="B371" s="3" t="s">
        <v>464</v>
      </c>
      <c r="J371" s="5">
        <v>95.0</v>
      </c>
      <c r="K371" s="5">
        <v>100.0</v>
      </c>
    </row>
    <row r="372">
      <c r="B372" s="3" t="s">
        <v>465</v>
      </c>
      <c r="J372" s="5"/>
      <c r="K372" s="5">
        <v>220.0</v>
      </c>
    </row>
    <row r="373">
      <c r="B373" s="3" t="s">
        <v>466</v>
      </c>
      <c r="J373" s="5"/>
      <c r="K373" s="10">
        <v>55.0</v>
      </c>
    </row>
    <row r="374">
      <c r="B374" s="3" t="s">
        <v>467</v>
      </c>
      <c r="J374" s="9">
        <v>50.0</v>
      </c>
      <c r="K374" s="9">
        <v>50.0</v>
      </c>
    </row>
    <row r="375">
      <c r="B375" s="3" t="s">
        <v>468</v>
      </c>
      <c r="J375" s="5"/>
      <c r="K375" s="5">
        <v>220.0</v>
      </c>
    </row>
    <row r="376">
      <c r="B376" s="3" t="s">
        <v>469</v>
      </c>
      <c r="J376" s="5">
        <v>245.0</v>
      </c>
      <c r="K376" s="5">
        <v>245.0</v>
      </c>
    </row>
    <row r="377">
      <c r="B377" s="3" t="s">
        <v>470</v>
      </c>
      <c r="J377" s="9">
        <v>85.0</v>
      </c>
      <c r="K377" s="9">
        <v>85.0</v>
      </c>
    </row>
    <row r="378">
      <c r="B378" s="3" t="s">
        <v>471</v>
      </c>
      <c r="J378" s="5">
        <v>2200.0</v>
      </c>
      <c r="K378" s="5">
        <v>89.0</v>
      </c>
    </row>
    <row r="379">
      <c r="B379" s="3" t="s">
        <v>472</v>
      </c>
      <c r="J379" s="9"/>
      <c r="K379" s="9">
        <v>80.0</v>
      </c>
    </row>
    <row r="380">
      <c r="B380" s="3" t="s">
        <v>473</v>
      </c>
      <c r="J380" s="5">
        <v>170.0</v>
      </c>
      <c r="K380" s="5">
        <v>170.0</v>
      </c>
    </row>
    <row r="381">
      <c r="B381" s="3" t="s">
        <v>474</v>
      </c>
      <c r="J381" s="5"/>
      <c r="K381" s="5">
        <v>160.0</v>
      </c>
    </row>
    <row r="382">
      <c r="B382" s="3" t="s">
        <v>475</v>
      </c>
      <c r="J382" s="5"/>
      <c r="K382" s="10">
        <v>340.0</v>
      </c>
    </row>
    <row r="383">
      <c r="B383" s="3" t="s">
        <v>476</v>
      </c>
      <c r="J383" s="5"/>
      <c r="K383" s="5">
        <v>200.0</v>
      </c>
    </row>
    <row r="384">
      <c r="B384" s="11" t="s">
        <v>477</v>
      </c>
      <c r="J384" s="16">
        <v>30.0</v>
      </c>
      <c r="K384" s="5">
        <f>I384-(I384*5%)</f>
        <v>0</v>
      </c>
    </row>
    <row r="385">
      <c r="B385" s="3" t="s">
        <v>478</v>
      </c>
      <c r="J385" s="5"/>
      <c r="K385" s="5">
        <v>60.0</v>
      </c>
    </row>
    <row r="386">
      <c r="B386" s="3" t="s">
        <v>479</v>
      </c>
      <c r="J386" s="5">
        <v>205.0</v>
      </c>
      <c r="K386" s="5">
        <v>210.0</v>
      </c>
    </row>
    <row r="387">
      <c r="B387" s="3" t="s">
        <v>480</v>
      </c>
      <c r="J387" s="5"/>
      <c r="K387" s="5">
        <v>330.0</v>
      </c>
    </row>
    <row r="388">
      <c r="B388" s="3" t="s">
        <v>481</v>
      </c>
      <c r="J388" s="5">
        <v>950.0</v>
      </c>
      <c r="K388" s="5">
        <v>950.0</v>
      </c>
    </row>
    <row r="389">
      <c r="B389" s="3" t="s">
        <v>482</v>
      </c>
      <c r="J389" s="9">
        <v>110.0</v>
      </c>
      <c r="K389" s="9">
        <v>105.0</v>
      </c>
    </row>
    <row r="390">
      <c r="B390" s="3" t="s">
        <v>483</v>
      </c>
      <c r="J390" s="5"/>
      <c r="K390" s="5">
        <v>270.0</v>
      </c>
    </row>
    <row r="391">
      <c r="B391" s="3" t="s">
        <v>484</v>
      </c>
      <c r="J391" s="5"/>
      <c r="K391" s="10">
        <v>400.0</v>
      </c>
    </row>
    <row r="392">
      <c r="B392" s="3" t="s">
        <v>485</v>
      </c>
      <c r="J392" s="5">
        <v>480.0</v>
      </c>
      <c r="K392" s="5">
        <v>480.0</v>
      </c>
    </row>
    <row r="393">
      <c r="B393" s="3" t="s">
        <v>486</v>
      </c>
      <c r="J393" s="5"/>
      <c r="K393" s="5">
        <v>65.0</v>
      </c>
    </row>
    <row r="394">
      <c r="B394" s="3" t="s">
        <v>487</v>
      </c>
      <c r="J394" s="5"/>
      <c r="K394" s="10">
        <v>400.0</v>
      </c>
    </row>
    <row r="395">
      <c r="B395" s="3" t="s">
        <v>488</v>
      </c>
      <c r="J395" s="5"/>
      <c r="K395" s="5">
        <v>180.0</v>
      </c>
    </row>
    <row r="396">
      <c r="B396" s="3" t="s">
        <v>489</v>
      </c>
      <c r="J396" s="5"/>
      <c r="K396" s="5">
        <v>2150.0</v>
      </c>
    </row>
    <row r="397">
      <c r="B397" s="3" t="s">
        <v>490</v>
      </c>
      <c r="J397" s="5"/>
      <c r="K397" s="5">
        <v>150.0</v>
      </c>
    </row>
    <row r="398">
      <c r="B398" s="3" t="s">
        <v>491</v>
      </c>
      <c r="J398" s="5">
        <v>280.0</v>
      </c>
      <c r="K398" s="5">
        <v>280.0</v>
      </c>
    </row>
    <row r="399">
      <c r="B399" s="3" t="s">
        <v>492</v>
      </c>
      <c r="J399" s="5"/>
      <c r="K399" s="5">
        <v>590.0</v>
      </c>
    </row>
    <row r="400">
      <c r="B400" s="3" t="s">
        <v>493</v>
      </c>
      <c r="J400" s="5"/>
      <c r="K400" s="10">
        <v>460.0</v>
      </c>
    </row>
    <row r="401">
      <c r="B401" s="3" t="s">
        <v>494</v>
      </c>
      <c r="J401" s="5"/>
      <c r="K401" s="5">
        <v>280.0</v>
      </c>
    </row>
    <row r="402">
      <c r="B402" s="3" t="s">
        <v>495</v>
      </c>
      <c r="J402" s="5"/>
      <c r="K402" s="10">
        <v>920.0</v>
      </c>
    </row>
    <row r="403">
      <c r="B403" s="3" t="s">
        <v>496</v>
      </c>
      <c r="J403" s="5">
        <v>750.0</v>
      </c>
      <c r="K403" s="5">
        <v>720.0</v>
      </c>
    </row>
    <row r="404">
      <c r="B404" s="3" t="s">
        <v>497</v>
      </c>
      <c r="J404" s="5"/>
      <c r="K404" s="10">
        <v>920.0</v>
      </c>
    </row>
    <row r="405">
      <c r="B405" s="3" t="s">
        <v>498</v>
      </c>
      <c r="J405" s="5">
        <v>24.0</v>
      </c>
      <c r="K405" s="5">
        <v>24.0</v>
      </c>
    </row>
    <row r="406">
      <c r="B406" s="3" t="s">
        <v>499</v>
      </c>
      <c r="J406" s="5">
        <v>500.0</v>
      </c>
      <c r="K406" s="5">
        <v>500.0</v>
      </c>
    </row>
    <row r="407">
      <c r="B407" s="3" t="s">
        <v>500</v>
      </c>
      <c r="J407" s="5">
        <v>480.0</v>
      </c>
      <c r="K407" s="5">
        <v>480.0</v>
      </c>
    </row>
    <row r="408">
      <c r="B408" s="3" t="s">
        <v>501</v>
      </c>
      <c r="J408" s="5"/>
      <c r="K408" s="5">
        <v>86.0</v>
      </c>
    </row>
    <row r="409">
      <c r="B409" s="3" t="s">
        <v>502</v>
      </c>
      <c r="J409" s="5">
        <v>550.0</v>
      </c>
      <c r="K409" s="5">
        <v>550.0</v>
      </c>
    </row>
    <row r="410">
      <c r="B410" s="3" t="s">
        <v>503</v>
      </c>
      <c r="J410" s="5">
        <v>550.0</v>
      </c>
      <c r="K410" s="5">
        <v>550.0</v>
      </c>
    </row>
    <row r="411">
      <c r="B411" s="3" t="s">
        <v>504</v>
      </c>
      <c r="J411" s="5">
        <v>550.0</v>
      </c>
      <c r="K411" s="5">
        <v>550.0</v>
      </c>
    </row>
    <row r="412">
      <c r="B412" s="3" t="s">
        <v>505</v>
      </c>
      <c r="J412" s="5">
        <v>550.0</v>
      </c>
      <c r="K412" s="5">
        <v>550.0</v>
      </c>
    </row>
    <row r="413">
      <c r="B413" s="3" t="s">
        <v>506</v>
      </c>
      <c r="J413" s="5">
        <v>620.0</v>
      </c>
      <c r="K413" s="5">
        <v>620.0</v>
      </c>
    </row>
    <row r="414">
      <c r="B414" s="3" t="s">
        <v>507</v>
      </c>
      <c r="J414" s="5">
        <v>350.0</v>
      </c>
      <c r="K414" s="5">
        <v>350.0</v>
      </c>
    </row>
    <row r="415">
      <c r="B415" s="3" t="s">
        <v>508</v>
      </c>
      <c r="J415" s="5">
        <v>900.0</v>
      </c>
      <c r="K415" s="5">
        <v>900.0</v>
      </c>
    </row>
    <row r="416">
      <c r="B416" s="3" t="s">
        <v>509</v>
      </c>
      <c r="J416" s="5">
        <v>150.0</v>
      </c>
      <c r="K416" s="5">
        <v>135.0</v>
      </c>
    </row>
    <row r="417">
      <c r="B417" s="3" t="s">
        <v>510</v>
      </c>
      <c r="J417" s="5"/>
      <c r="K417" s="5">
        <v>90.0</v>
      </c>
    </row>
    <row r="418">
      <c r="B418" s="3" t="s">
        <v>511</v>
      </c>
      <c r="J418" s="5"/>
      <c r="K418" s="10">
        <v>525.0</v>
      </c>
    </row>
    <row r="419">
      <c r="B419" s="3" t="s">
        <v>512</v>
      </c>
      <c r="J419" s="5">
        <f>I419*50</f>
        <v>0</v>
      </c>
      <c r="K419" s="5">
        <v>56.0</v>
      </c>
    </row>
    <row r="420">
      <c r="B420" s="3" t="s">
        <v>513</v>
      </c>
      <c r="J420" s="5">
        <v>570.0</v>
      </c>
      <c r="K420" s="5">
        <v>570.0</v>
      </c>
    </row>
    <row r="421">
      <c r="B421" s="3" t="s">
        <v>514</v>
      </c>
      <c r="J421" s="5"/>
      <c r="K421" s="5">
        <v>104.0</v>
      </c>
    </row>
    <row r="422">
      <c r="B422" s="3" t="s">
        <v>515</v>
      </c>
      <c r="J422" s="5">
        <v>570.0</v>
      </c>
      <c r="K422" s="5">
        <v>570.0</v>
      </c>
    </row>
    <row r="423">
      <c r="B423" s="3" t="s">
        <v>516</v>
      </c>
      <c r="J423" s="5"/>
      <c r="K423" s="5">
        <v>2175.0</v>
      </c>
    </row>
    <row r="424">
      <c r="B424" s="3" t="s">
        <v>517</v>
      </c>
      <c r="J424" s="5"/>
      <c r="K424" s="10">
        <v>450.0</v>
      </c>
    </row>
    <row r="425">
      <c r="B425" s="3" t="s">
        <v>518</v>
      </c>
      <c r="J425" s="5"/>
      <c r="K425" s="5">
        <v>79.0</v>
      </c>
    </row>
    <row r="426">
      <c r="B426" s="3" t="s">
        <v>519</v>
      </c>
      <c r="J426" s="5"/>
      <c r="K426" s="5">
        <v>2200.0</v>
      </c>
    </row>
    <row r="427">
      <c r="B427" s="3" t="s">
        <v>520</v>
      </c>
      <c r="J427" s="5"/>
      <c r="K427" s="5">
        <v>458.0</v>
      </c>
    </row>
    <row r="428">
      <c r="B428" s="3" t="s">
        <v>348</v>
      </c>
      <c r="J428" s="5">
        <v>90.0</v>
      </c>
      <c r="K428" s="5">
        <v>85.0</v>
      </c>
    </row>
    <row r="429">
      <c r="B429" s="3" t="s">
        <v>521</v>
      </c>
      <c r="J429" s="5">
        <v>50.0</v>
      </c>
      <c r="K429" s="5">
        <v>49.0</v>
      </c>
    </row>
    <row r="430">
      <c r="B430" s="3" t="s">
        <v>522</v>
      </c>
      <c r="J430" s="5">
        <v>205.0</v>
      </c>
      <c r="K430" s="5">
        <v>205.0</v>
      </c>
    </row>
    <row r="431">
      <c r="B431" s="3" t="s">
        <v>523</v>
      </c>
      <c r="J431" s="5"/>
      <c r="K431" s="5">
        <v>87.0</v>
      </c>
    </row>
    <row r="432">
      <c r="B432" s="3" t="s">
        <v>524</v>
      </c>
      <c r="J432" s="5"/>
      <c r="K432" s="5">
        <v>57.0</v>
      </c>
    </row>
    <row r="433">
      <c r="B433" s="3" t="s">
        <v>525</v>
      </c>
      <c r="J433" s="5"/>
      <c r="K433" s="10">
        <v>650.0</v>
      </c>
    </row>
    <row r="434">
      <c r="B434" s="3" t="s">
        <v>526</v>
      </c>
      <c r="J434" s="5"/>
      <c r="K434" s="5">
        <v>95.0</v>
      </c>
    </row>
    <row r="435">
      <c r="B435" s="3" t="s">
        <v>527</v>
      </c>
      <c r="J435" s="5"/>
      <c r="K435" s="5">
        <v>360.0</v>
      </c>
    </row>
    <row r="436">
      <c r="B436" s="3" t="s">
        <v>528</v>
      </c>
      <c r="J436" s="5">
        <v>15.0</v>
      </c>
      <c r="K436" s="5">
        <v>800.0</v>
      </c>
    </row>
    <row r="437">
      <c r="B437" s="3" t="s">
        <v>529</v>
      </c>
      <c r="J437" s="5"/>
      <c r="K437" s="10">
        <v>680.0</v>
      </c>
    </row>
    <row r="438">
      <c r="B438" s="3" t="s">
        <v>530</v>
      </c>
      <c r="J438" s="5">
        <v>15.0</v>
      </c>
      <c r="K438" s="5">
        <v>800.0</v>
      </c>
    </row>
    <row r="439">
      <c r="B439" s="3" t="s">
        <v>531</v>
      </c>
      <c r="J439" s="5"/>
      <c r="K439" s="10">
        <v>680.0</v>
      </c>
    </row>
    <row r="440">
      <c r="B440" s="3" t="s">
        <v>532</v>
      </c>
      <c r="J440" s="5">
        <v>15.0</v>
      </c>
      <c r="K440" s="5">
        <v>800.0</v>
      </c>
    </row>
    <row r="441">
      <c r="B441" s="3" t="s">
        <v>533</v>
      </c>
      <c r="J441" s="5"/>
      <c r="K441" s="10">
        <v>480.0</v>
      </c>
    </row>
    <row r="442">
      <c r="B442" s="3" t="s">
        <v>534</v>
      </c>
      <c r="J442" s="5">
        <v>205.0</v>
      </c>
      <c r="K442" s="5">
        <v>200.0</v>
      </c>
    </row>
    <row r="443">
      <c r="B443" s="3" t="s">
        <v>535</v>
      </c>
      <c r="J443" s="5"/>
      <c r="K443" s="10">
        <v>420.0</v>
      </c>
    </row>
    <row r="444">
      <c r="B444" s="3" t="s">
        <v>536</v>
      </c>
      <c r="J444" s="5"/>
      <c r="K444" s="10">
        <v>970.0</v>
      </c>
    </row>
    <row r="445">
      <c r="B445" s="3" t="s">
        <v>537</v>
      </c>
      <c r="J445" s="5"/>
      <c r="K445" s="10">
        <v>275.0</v>
      </c>
    </row>
    <row r="446">
      <c r="B446" s="3" t="s">
        <v>538</v>
      </c>
      <c r="J446" s="5"/>
      <c r="K446" s="5">
        <v>18.0</v>
      </c>
    </row>
    <row r="447">
      <c r="B447" s="3" t="s">
        <v>539</v>
      </c>
      <c r="J447" s="5">
        <v>390.0</v>
      </c>
      <c r="K447" s="5">
        <v>390.0</v>
      </c>
    </row>
    <row r="448">
      <c r="B448" s="3" t="s">
        <v>540</v>
      </c>
      <c r="J448" s="5"/>
      <c r="K448" s="5">
        <v>60.0</v>
      </c>
    </row>
    <row r="449">
      <c r="B449" s="3" t="s">
        <v>541</v>
      </c>
      <c r="J449" s="5">
        <v>950.0</v>
      </c>
      <c r="K449" s="5">
        <v>945.0</v>
      </c>
    </row>
    <row r="450">
      <c r="B450" s="3" t="s">
        <v>542</v>
      </c>
      <c r="J450" s="5">
        <v>10.0</v>
      </c>
      <c r="K450" s="5">
        <v>10.0</v>
      </c>
    </row>
    <row r="451">
      <c r="B451" s="3" t="s">
        <v>543</v>
      </c>
      <c r="J451" s="5">
        <v>480.0</v>
      </c>
      <c r="K451" s="5">
        <v>480.0</v>
      </c>
    </row>
    <row r="452">
      <c r="B452" s="3" t="s">
        <v>544</v>
      </c>
      <c r="J452" s="9">
        <v>300.0</v>
      </c>
      <c r="K452" s="9">
        <v>300.0</v>
      </c>
    </row>
    <row r="453">
      <c r="B453" s="3" t="s">
        <v>545</v>
      </c>
      <c r="J453" s="9">
        <v>95.0</v>
      </c>
      <c r="K453" s="9">
        <v>90.0</v>
      </c>
    </row>
    <row r="454">
      <c r="B454" s="3" t="s">
        <v>546</v>
      </c>
      <c r="J454" s="5"/>
      <c r="K454" s="5">
        <v>40.0</v>
      </c>
    </row>
    <row r="455">
      <c r="B455" s="3" t="s">
        <v>547</v>
      </c>
      <c r="J455" s="5">
        <v>1000.0</v>
      </c>
      <c r="K455" s="5">
        <v>1000.0</v>
      </c>
    </row>
    <row r="456">
      <c r="B456" s="3" t="s">
        <v>548</v>
      </c>
      <c r="J456" s="5"/>
      <c r="K456" s="5">
        <v>80.0</v>
      </c>
    </row>
    <row r="457">
      <c r="B457" s="3" t="s">
        <v>549</v>
      </c>
      <c r="J457" s="5"/>
      <c r="K457" s="5">
        <v>1750.0</v>
      </c>
    </row>
    <row r="458">
      <c r="B458" s="3" t="s">
        <v>550</v>
      </c>
      <c r="J458" s="5">
        <v>110.0</v>
      </c>
      <c r="K458" s="5">
        <v>110.0</v>
      </c>
    </row>
    <row r="459">
      <c r="B459" s="3" t="s">
        <v>551</v>
      </c>
      <c r="J459" s="5">
        <v>80.0</v>
      </c>
      <c r="K459" s="5">
        <v>80.0</v>
      </c>
    </row>
    <row r="460">
      <c r="B460" s="3" t="s">
        <v>552</v>
      </c>
      <c r="J460" s="5">
        <v>20.0</v>
      </c>
      <c r="K460" s="5">
        <v>20.0</v>
      </c>
    </row>
    <row r="461">
      <c r="B461" s="3" t="s">
        <v>553</v>
      </c>
      <c r="J461" s="5">
        <v>80.0</v>
      </c>
      <c r="K461" s="5">
        <v>80.0</v>
      </c>
    </row>
    <row r="462">
      <c r="B462" s="3" t="s">
        <v>554</v>
      </c>
      <c r="J462" s="5">
        <v>130.0</v>
      </c>
      <c r="K462" s="5">
        <v>125.0</v>
      </c>
    </row>
    <row r="463">
      <c r="B463" s="3" t="s">
        <v>555</v>
      </c>
      <c r="J463" s="5">
        <v>40.0</v>
      </c>
      <c r="K463" s="5">
        <v>40.0</v>
      </c>
    </row>
    <row r="464">
      <c r="B464" s="3" t="s">
        <v>556</v>
      </c>
      <c r="J464" s="5"/>
      <c r="K464" s="5">
        <v>70.0</v>
      </c>
    </row>
    <row r="465">
      <c r="B465" s="3" t="s">
        <v>557</v>
      </c>
      <c r="J465" s="5"/>
      <c r="K465" s="5">
        <v>1200.0</v>
      </c>
    </row>
    <row r="466">
      <c r="B466" s="3" t="s">
        <v>558</v>
      </c>
      <c r="J466" s="5">
        <v>25.0</v>
      </c>
      <c r="K466" s="5">
        <v>23.0</v>
      </c>
    </row>
    <row r="467">
      <c r="B467" s="3" t="s">
        <v>559</v>
      </c>
      <c r="J467" s="5"/>
      <c r="K467" s="5">
        <v>360.0</v>
      </c>
    </row>
    <row r="468">
      <c r="B468" s="3" t="s">
        <v>560</v>
      </c>
      <c r="J468" s="5"/>
      <c r="K468" s="5">
        <v>75.0</v>
      </c>
    </row>
    <row r="469">
      <c r="B469" s="3" t="s">
        <v>561</v>
      </c>
      <c r="J469" s="9">
        <v>2.0</v>
      </c>
      <c r="K469" s="9">
        <v>2.0</v>
      </c>
    </row>
    <row r="470">
      <c r="B470" s="3" t="s">
        <v>562</v>
      </c>
      <c r="J470" s="5"/>
      <c r="K470" s="5">
        <v>65.0</v>
      </c>
    </row>
    <row r="471">
      <c r="B471" s="3" t="s">
        <v>563</v>
      </c>
      <c r="J471" s="5"/>
      <c r="K471" s="5">
        <v>145.0</v>
      </c>
    </row>
    <row r="472">
      <c r="B472" s="3" t="s">
        <v>564</v>
      </c>
      <c r="J472" s="9">
        <v>150.0</v>
      </c>
      <c r="K472" s="9">
        <v>150.0</v>
      </c>
    </row>
    <row r="473">
      <c r="B473" s="3" t="s">
        <v>565</v>
      </c>
      <c r="J473" s="5"/>
      <c r="K473" s="5">
        <v>195.0</v>
      </c>
    </row>
    <row r="474">
      <c r="B474" s="3" t="s">
        <v>566</v>
      </c>
      <c r="J474" s="5"/>
      <c r="K474" s="10">
        <v>490.0</v>
      </c>
    </row>
    <row r="475">
      <c r="B475" s="3" t="s">
        <v>567</v>
      </c>
      <c r="J475" s="5"/>
      <c r="K475" s="5">
        <v>30.0</v>
      </c>
    </row>
    <row r="476">
      <c r="B476" s="3" t="s">
        <v>568</v>
      </c>
      <c r="J476" s="5"/>
      <c r="K476" s="5">
        <v>30.0</v>
      </c>
    </row>
    <row r="477">
      <c r="B477" s="3" t="s">
        <v>569</v>
      </c>
      <c r="J477" s="5"/>
      <c r="K477" s="5">
        <v>45.0</v>
      </c>
    </row>
    <row r="478">
      <c r="B478" s="3" t="s">
        <v>570</v>
      </c>
      <c r="J478" s="5"/>
      <c r="K478" s="5">
        <v>45.0</v>
      </c>
    </row>
    <row r="479">
      <c r="B479" s="3" t="s">
        <v>571</v>
      </c>
      <c r="J479" s="5">
        <v>10.0</v>
      </c>
      <c r="K479" s="5">
        <v>10.0</v>
      </c>
    </row>
    <row r="480">
      <c r="B480" s="3" t="s">
        <v>572</v>
      </c>
      <c r="J480" s="9">
        <v>5.0</v>
      </c>
      <c r="K480" s="9">
        <v>5.0</v>
      </c>
    </row>
    <row r="481">
      <c r="B481" s="3" t="s">
        <v>573</v>
      </c>
      <c r="J481" s="5"/>
      <c r="K481" s="5">
        <v>500.0</v>
      </c>
    </row>
    <row r="482">
      <c r="B482" s="3" t="s">
        <v>574</v>
      </c>
      <c r="J482" s="5"/>
      <c r="K482" s="10">
        <v>15.0</v>
      </c>
    </row>
    <row r="483">
      <c r="B483" s="3" t="s">
        <v>575</v>
      </c>
      <c r="J483" s="5"/>
      <c r="K483" s="10">
        <v>200.0</v>
      </c>
    </row>
    <row r="484">
      <c r="B484" s="3" t="s">
        <v>576</v>
      </c>
      <c r="J484" s="5"/>
      <c r="K484" s="5">
        <v>100.0</v>
      </c>
    </row>
    <row r="485">
      <c r="B485" s="3" t="s">
        <v>577</v>
      </c>
      <c r="J485" s="5"/>
      <c r="K485" s="5">
        <v>40.0</v>
      </c>
    </row>
    <row r="486">
      <c r="B486" s="3" t="s">
        <v>578</v>
      </c>
      <c r="J486" s="5"/>
      <c r="K486" s="5">
        <v>300.0</v>
      </c>
    </row>
    <row r="487">
      <c r="B487" s="3" t="s">
        <v>579</v>
      </c>
      <c r="J487" s="5">
        <v>100.0</v>
      </c>
      <c r="K487" s="5">
        <f>I487-(I487*5%)</f>
        <v>0</v>
      </c>
    </row>
    <row r="488">
      <c r="B488" s="3" t="s">
        <v>580</v>
      </c>
      <c r="J488" s="5">
        <v>190.0</v>
      </c>
      <c r="K488" s="5">
        <v>185.0</v>
      </c>
    </row>
    <row r="489">
      <c r="B489" s="3" t="s">
        <v>581</v>
      </c>
      <c r="J489" s="5"/>
      <c r="K489" s="5">
        <v>190.0</v>
      </c>
    </row>
    <row r="490">
      <c r="B490" s="3" t="s">
        <v>582</v>
      </c>
      <c r="J490" s="5"/>
      <c r="K490" s="5">
        <v>80.0</v>
      </c>
    </row>
    <row r="491">
      <c r="B491" s="3" t="s">
        <v>583</v>
      </c>
      <c r="J491" s="5"/>
      <c r="K491" s="5">
        <v>20.0</v>
      </c>
    </row>
    <row r="492">
      <c r="B492" s="3" t="s">
        <v>584</v>
      </c>
      <c r="J492" s="5">
        <v>750.0</v>
      </c>
      <c r="K492" s="5">
        <v>750.0</v>
      </c>
    </row>
    <row r="493">
      <c r="B493" s="3" t="s">
        <v>585</v>
      </c>
      <c r="J493" s="5"/>
      <c r="K493" s="5">
        <v>20.0</v>
      </c>
    </row>
    <row r="494">
      <c r="B494" s="3" t="s">
        <v>586</v>
      </c>
      <c r="J494" s="5">
        <v>210.0</v>
      </c>
      <c r="K494" s="5">
        <v>200.0</v>
      </c>
    </row>
    <row r="495">
      <c r="B495" s="3" t="s">
        <v>587</v>
      </c>
      <c r="J495" s="5">
        <v>210.0</v>
      </c>
      <c r="K495" s="5">
        <v>200.0</v>
      </c>
    </row>
    <row r="496">
      <c r="B496" s="3" t="s">
        <v>588</v>
      </c>
      <c r="J496" s="9">
        <v>20.0</v>
      </c>
      <c r="K496" s="9">
        <v>20.0</v>
      </c>
    </row>
    <row r="497">
      <c r="B497" s="3" t="s">
        <v>589</v>
      </c>
      <c r="J497" s="5">
        <v>130.0</v>
      </c>
      <c r="K497" s="5">
        <v>125.0</v>
      </c>
    </row>
    <row r="498">
      <c r="B498" s="3" t="s">
        <v>590</v>
      </c>
      <c r="J498" s="5"/>
      <c r="K498" s="5">
        <f>105/12</f>
        <v>8.75</v>
      </c>
    </row>
    <row r="499">
      <c r="B499" s="3" t="s">
        <v>591</v>
      </c>
      <c r="J499" s="5"/>
      <c r="K499" s="5"/>
    </row>
    <row r="500">
      <c r="B500" s="3" t="s">
        <v>592</v>
      </c>
      <c r="J500" s="5"/>
      <c r="K500" s="5"/>
    </row>
    <row r="501">
      <c r="B501" s="3" t="s">
        <v>593</v>
      </c>
      <c r="J501" s="5"/>
      <c r="K501" s="5"/>
    </row>
    <row r="502">
      <c r="B502" s="3" t="s">
        <v>594</v>
      </c>
      <c r="J502" s="9">
        <v>80.0</v>
      </c>
      <c r="K502" s="9">
        <v>80.0</v>
      </c>
    </row>
    <row r="503">
      <c r="B503" s="3" t="s">
        <v>595</v>
      </c>
      <c r="J503" s="9">
        <v>80.0</v>
      </c>
      <c r="K503" s="9">
        <v>80.0</v>
      </c>
    </row>
    <row r="504">
      <c r="B504" s="3" t="s">
        <v>596</v>
      </c>
      <c r="J504" s="5">
        <v>15.0</v>
      </c>
      <c r="K504" s="5">
        <v>15.0</v>
      </c>
    </row>
    <row r="505">
      <c r="B505" s="3" t="s">
        <v>597</v>
      </c>
      <c r="J505" s="5">
        <v>10.0</v>
      </c>
      <c r="K505" s="5">
        <v>10.0</v>
      </c>
    </row>
    <row r="506">
      <c r="B506" s="3" t="s">
        <v>598</v>
      </c>
      <c r="J506" s="5">
        <v>125.0</v>
      </c>
      <c r="K506" s="5">
        <v>125.0</v>
      </c>
    </row>
    <row r="507">
      <c r="B507" s="3" t="s">
        <v>599</v>
      </c>
      <c r="J507" s="5"/>
      <c r="K507" s="5">
        <v>20.0</v>
      </c>
    </row>
    <row r="508">
      <c r="B508" s="3" t="s">
        <v>600</v>
      </c>
      <c r="J508" s="5"/>
      <c r="K508" s="5">
        <v>60.0</v>
      </c>
    </row>
    <row r="509">
      <c r="B509" s="3" t="s">
        <v>601</v>
      </c>
      <c r="J509" s="5"/>
      <c r="K509" s="5">
        <v>20.0</v>
      </c>
    </row>
    <row r="510">
      <c r="B510" s="3" t="s">
        <v>602</v>
      </c>
      <c r="J510" s="5"/>
      <c r="K510" s="5">
        <v>50.0</v>
      </c>
    </row>
    <row r="511">
      <c r="B511" s="3" t="s">
        <v>603</v>
      </c>
      <c r="J511" s="5">
        <v>465.0</v>
      </c>
      <c r="K511" s="5">
        <v>500.0</v>
      </c>
    </row>
    <row r="512">
      <c r="B512" s="3" t="s">
        <v>604</v>
      </c>
      <c r="J512" s="5"/>
      <c r="K512" s="10">
        <v>20.0</v>
      </c>
    </row>
    <row r="513">
      <c r="B513" s="3" t="s">
        <v>605</v>
      </c>
      <c r="J513" s="5"/>
      <c r="K513" s="10">
        <v>20.0</v>
      </c>
    </row>
    <row r="514">
      <c r="B514" s="3" t="s">
        <v>606</v>
      </c>
      <c r="J514" s="9">
        <v>30.0</v>
      </c>
      <c r="K514" s="9">
        <v>28.0</v>
      </c>
    </row>
    <row r="515">
      <c r="B515" s="3" t="s">
        <v>607</v>
      </c>
      <c r="J515" s="5">
        <v>120.0</v>
      </c>
      <c r="K515" s="5">
        <v>110.0</v>
      </c>
    </row>
    <row r="516">
      <c r="B516" s="3" t="s">
        <v>608</v>
      </c>
      <c r="J516" s="5">
        <v>120.0</v>
      </c>
      <c r="K516" s="5">
        <v>110.0</v>
      </c>
    </row>
    <row r="517">
      <c r="B517" s="3" t="s">
        <v>609</v>
      </c>
      <c r="J517" s="5"/>
      <c r="K517" s="5">
        <v>50.0</v>
      </c>
    </row>
    <row r="518">
      <c r="B518" s="3" t="s">
        <v>610</v>
      </c>
      <c r="J518" s="5">
        <v>90.0</v>
      </c>
      <c r="K518" s="5">
        <v>85.0</v>
      </c>
    </row>
    <row r="519">
      <c r="B519" s="3" t="s">
        <v>489</v>
      </c>
      <c r="J519" s="5">
        <f>L519*25</f>
        <v>0</v>
      </c>
      <c r="K519" s="5">
        <v>86.0</v>
      </c>
    </row>
    <row r="520">
      <c r="B520" s="3" t="s">
        <v>611</v>
      </c>
      <c r="J520" s="9">
        <v>65.0</v>
      </c>
      <c r="K520" s="9">
        <v>65.0</v>
      </c>
    </row>
    <row r="521">
      <c r="B521" s="3" t="s">
        <v>612</v>
      </c>
      <c r="J521" s="5"/>
      <c r="K521" s="5">
        <v>350.0</v>
      </c>
    </row>
    <row r="522">
      <c r="B522" s="3" t="s">
        <v>613</v>
      </c>
      <c r="J522" s="5"/>
      <c r="K522" s="5">
        <v>175.0</v>
      </c>
    </row>
    <row r="523">
      <c r="B523" s="3" t="s">
        <v>614</v>
      </c>
      <c r="J523" s="5">
        <v>195.0</v>
      </c>
      <c r="K523" s="5">
        <f>I523-(I523*5%)</f>
        <v>0</v>
      </c>
    </row>
    <row r="524">
      <c r="B524" s="3" t="s">
        <v>615</v>
      </c>
      <c r="J524" s="9">
        <v>95.0</v>
      </c>
      <c r="K524" s="9">
        <v>90.0</v>
      </c>
    </row>
    <row r="525">
      <c r="B525" s="3" t="s">
        <v>616</v>
      </c>
      <c r="J525" s="5">
        <v>70.0</v>
      </c>
      <c r="K525" s="5">
        <v>70.0</v>
      </c>
    </row>
    <row r="526">
      <c r="B526" s="3" t="s">
        <v>617</v>
      </c>
      <c r="J526" s="5">
        <v>130.0</v>
      </c>
      <c r="K526" s="5">
        <v>125.0</v>
      </c>
    </row>
    <row r="527">
      <c r="B527" s="3" t="s">
        <v>618</v>
      </c>
      <c r="J527" s="5">
        <v>90.0</v>
      </c>
      <c r="K527" s="5">
        <v>90.0</v>
      </c>
    </row>
    <row r="528">
      <c r="B528" s="3" t="s">
        <v>619</v>
      </c>
      <c r="J528" s="5">
        <v>2225.0</v>
      </c>
      <c r="K528" s="5">
        <v>90.0</v>
      </c>
    </row>
    <row r="529">
      <c r="B529" s="3" t="s">
        <v>620</v>
      </c>
      <c r="J529" s="9">
        <v>45.0</v>
      </c>
      <c r="K529" s="9">
        <v>45.0</v>
      </c>
    </row>
    <row r="530">
      <c r="B530" s="3" t="s">
        <v>621</v>
      </c>
      <c r="J530" s="5">
        <v>90.0</v>
      </c>
      <c r="K530" s="5">
        <v>90.0</v>
      </c>
    </row>
    <row r="531">
      <c r="B531" s="3" t="s">
        <v>622</v>
      </c>
      <c r="J531" s="5"/>
      <c r="K531" s="10">
        <v>520.0</v>
      </c>
    </row>
    <row r="532">
      <c r="B532" s="3" t="s">
        <v>623</v>
      </c>
      <c r="J532" s="5"/>
      <c r="K532" s="10">
        <v>525.0</v>
      </c>
    </row>
    <row r="533">
      <c r="B533" s="3" t="s">
        <v>624</v>
      </c>
      <c r="J533" s="5"/>
      <c r="K533" s="10">
        <v>440.0</v>
      </c>
    </row>
    <row r="534">
      <c r="B534" s="3" t="s">
        <v>625</v>
      </c>
      <c r="J534" s="5"/>
      <c r="K534" s="10">
        <v>440.0</v>
      </c>
    </row>
    <row r="535">
      <c r="B535" s="3" t="s">
        <v>626</v>
      </c>
      <c r="J535" s="5"/>
      <c r="K535" s="5">
        <v>2200.0</v>
      </c>
    </row>
    <row r="536">
      <c r="B536" s="3" t="s">
        <v>627</v>
      </c>
      <c r="J536" s="5"/>
      <c r="K536" s="5">
        <v>390.0</v>
      </c>
    </row>
    <row r="537">
      <c r="B537" s="3" t="s">
        <v>628</v>
      </c>
      <c r="J537" s="5"/>
      <c r="K537" s="5">
        <v>955.0</v>
      </c>
    </row>
    <row r="538">
      <c r="B538" s="3" t="s">
        <v>619</v>
      </c>
      <c r="J538" s="5"/>
      <c r="K538" s="5">
        <v>2225.0</v>
      </c>
    </row>
    <row r="539">
      <c r="B539" s="3" t="s">
        <v>629</v>
      </c>
      <c r="J539" s="5"/>
      <c r="K539" s="5">
        <v>1120.0</v>
      </c>
    </row>
    <row r="540">
      <c r="B540" s="3" t="s">
        <v>630</v>
      </c>
      <c r="J540" s="5"/>
      <c r="K540" s="5">
        <v>89.0</v>
      </c>
    </row>
    <row r="541">
      <c r="J541" s="5"/>
      <c r="K541" s="5"/>
    </row>
    <row r="542">
      <c r="J542" s="5"/>
      <c r="K542" s="5"/>
    </row>
    <row r="543">
      <c r="J543" s="5"/>
      <c r="K543" s="5"/>
    </row>
    <row r="544">
      <c r="J544" s="5"/>
      <c r="K544" s="5"/>
    </row>
    <row r="545">
      <c r="J545" s="5"/>
      <c r="K545" s="5"/>
    </row>
    <row r="546">
      <c r="J546" s="5"/>
      <c r="K546" s="5"/>
    </row>
    <row r="547">
      <c r="J547" s="5"/>
      <c r="K547" s="5"/>
    </row>
    <row r="548">
      <c r="J548" s="5"/>
      <c r="K548" s="5"/>
    </row>
    <row r="549">
      <c r="J549" s="5"/>
      <c r="K549" s="5"/>
    </row>
    <row r="550">
      <c r="J550" s="5"/>
      <c r="K550" s="5"/>
    </row>
    <row r="551">
      <c r="J551" s="5"/>
      <c r="K551" s="5"/>
    </row>
    <row r="552">
      <c r="J552" s="5"/>
      <c r="K552" s="5"/>
    </row>
    <row r="553">
      <c r="J553" s="5"/>
      <c r="K553" s="5"/>
    </row>
    <row r="554">
      <c r="J554" s="5"/>
      <c r="K554" s="5"/>
    </row>
    <row r="555">
      <c r="J555" s="5"/>
      <c r="K555" s="5"/>
    </row>
    <row r="556">
      <c r="J556" s="5"/>
      <c r="K556" s="5"/>
    </row>
    <row r="557">
      <c r="J557" s="5"/>
      <c r="K557" s="5"/>
    </row>
    <row r="558">
      <c r="J558" s="5"/>
      <c r="K558" s="5"/>
    </row>
    <row r="559">
      <c r="J559" s="5"/>
      <c r="K559" s="5"/>
    </row>
    <row r="560">
      <c r="J560" s="5"/>
      <c r="K560" s="5"/>
    </row>
    <row r="561">
      <c r="J561" s="5"/>
      <c r="K561" s="5"/>
    </row>
    <row r="562">
      <c r="J562" s="5"/>
      <c r="K562" s="5"/>
    </row>
    <row r="563">
      <c r="J563" s="5"/>
      <c r="K563" s="5"/>
    </row>
    <row r="564">
      <c r="J564" s="5"/>
      <c r="K564" s="5"/>
    </row>
    <row r="565">
      <c r="J565" s="5"/>
      <c r="K565" s="5"/>
    </row>
    <row r="566">
      <c r="J566" s="5"/>
      <c r="K566" s="5"/>
    </row>
    <row r="567">
      <c r="J567" s="5"/>
      <c r="K567" s="5"/>
    </row>
    <row r="568">
      <c r="J568" s="5"/>
      <c r="K568" s="5"/>
    </row>
    <row r="569">
      <c r="J569" s="5"/>
      <c r="K569" s="5"/>
    </row>
    <row r="570">
      <c r="J570" s="5"/>
      <c r="K570" s="5"/>
    </row>
    <row r="571">
      <c r="J571" s="5"/>
      <c r="K571" s="5"/>
    </row>
    <row r="572">
      <c r="J572" s="5"/>
      <c r="K572" s="5"/>
    </row>
    <row r="573">
      <c r="J573" s="5"/>
      <c r="K573" s="5"/>
    </row>
    <row r="574">
      <c r="J574" s="5"/>
      <c r="K574" s="5"/>
    </row>
    <row r="575">
      <c r="J575" s="5"/>
      <c r="K575" s="5"/>
    </row>
    <row r="576">
      <c r="J576" s="5"/>
      <c r="K576" s="5"/>
    </row>
    <row r="577">
      <c r="J577" s="5"/>
      <c r="K577" s="5"/>
    </row>
    <row r="578">
      <c r="J578" s="5"/>
      <c r="K578" s="5"/>
    </row>
    <row r="579">
      <c r="J579" s="5"/>
      <c r="K579" s="5"/>
    </row>
    <row r="580">
      <c r="J580" s="5"/>
      <c r="K580" s="5"/>
    </row>
    <row r="581">
      <c r="J581" s="5"/>
      <c r="K581" s="5"/>
    </row>
    <row r="582">
      <c r="J582" s="5"/>
      <c r="K582" s="5"/>
    </row>
    <row r="583">
      <c r="J583" s="5"/>
      <c r="K583" s="5"/>
    </row>
    <row r="584">
      <c r="J584" s="5"/>
      <c r="K584" s="5"/>
    </row>
    <row r="585">
      <c r="J585" s="5"/>
      <c r="K585" s="5"/>
    </row>
    <row r="586">
      <c r="J586" s="5"/>
      <c r="K586" s="5"/>
    </row>
    <row r="587">
      <c r="J587" s="5"/>
      <c r="K587" s="5"/>
    </row>
    <row r="588">
      <c r="J588" s="5"/>
      <c r="K588" s="5"/>
    </row>
    <row r="589">
      <c r="J589" s="5"/>
      <c r="K589" s="5"/>
    </row>
    <row r="590">
      <c r="J590" s="5"/>
      <c r="K590" s="5"/>
    </row>
    <row r="591">
      <c r="J591" s="5"/>
      <c r="K591" s="5"/>
    </row>
    <row r="592">
      <c r="J592" s="5"/>
      <c r="K592" s="5"/>
    </row>
    <row r="593">
      <c r="J593" s="5"/>
      <c r="K593" s="5"/>
    </row>
    <row r="594">
      <c r="J594" s="5"/>
      <c r="K594" s="5"/>
    </row>
    <row r="595">
      <c r="J595" s="5"/>
      <c r="K595" s="5"/>
    </row>
    <row r="596">
      <c r="J596" s="5"/>
      <c r="K596" s="5"/>
    </row>
    <row r="597">
      <c r="J597" s="5"/>
      <c r="K597" s="5"/>
    </row>
    <row r="598">
      <c r="J598" s="5"/>
      <c r="K598" s="5"/>
    </row>
    <row r="599">
      <c r="J599" s="5"/>
      <c r="K599" s="5"/>
    </row>
    <row r="600">
      <c r="J600" s="5"/>
      <c r="K600" s="5"/>
    </row>
    <row r="601">
      <c r="J601" s="5"/>
      <c r="K601" s="5"/>
    </row>
    <row r="602">
      <c r="J602" s="5"/>
      <c r="K602" s="5"/>
    </row>
    <row r="603">
      <c r="J603" s="5"/>
      <c r="K603" s="5"/>
    </row>
    <row r="604">
      <c r="J604" s="5"/>
      <c r="K604" s="5"/>
    </row>
    <row r="605">
      <c r="J605" s="5"/>
      <c r="K605" s="5"/>
    </row>
    <row r="606">
      <c r="J606" s="5"/>
      <c r="K606" s="5"/>
    </row>
    <row r="607">
      <c r="J607" s="5"/>
      <c r="K607" s="5"/>
    </row>
    <row r="608">
      <c r="J608" s="5"/>
      <c r="K608" s="5"/>
    </row>
    <row r="609">
      <c r="J609" s="5"/>
      <c r="K609" s="5"/>
    </row>
    <row r="610">
      <c r="J610" s="5"/>
      <c r="K610" s="5"/>
    </row>
    <row r="611">
      <c r="J611" s="5"/>
      <c r="K611" s="5"/>
    </row>
    <row r="612">
      <c r="J612" s="5"/>
      <c r="K612" s="5"/>
    </row>
    <row r="613">
      <c r="J613" s="5"/>
      <c r="K613" s="5"/>
    </row>
    <row r="614">
      <c r="J614" s="5"/>
      <c r="K614" s="5"/>
    </row>
    <row r="615">
      <c r="J615" s="5"/>
      <c r="K615" s="5"/>
    </row>
    <row r="616">
      <c r="J616" s="5"/>
      <c r="K616" s="5"/>
    </row>
    <row r="617">
      <c r="J617" s="5"/>
      <c r="K617" s="5"/>
    </row>
    <row r="618">
      <c r="J618" s="5"/>
      <c r="K618" s="5"/>
    </row>
    <row r="619">
      <c r="J619" s="5"/>
      <c r="K619" s="5"/>
    </row>
    <row r="620">
      <c r="J620" s="5"/>
      <c r="K620" s="5"/>
    </row>
    <row r="621">
      <c r="J621" s="5"/>
      <c r="K621" s="5"/>
    </row>
    <row r="622">
      <c r="J622" s="5"/>
      <c r="K622" s="5"/>
    </row>
    <row r="623">
      <c r="J623" s="5"/>
      <c r="K623" s="5"/>
    </row>
    <row r="624">
      <c r="J624" s="5"/>
      <c r="K624" s="5"/>
    </row>
    <row r="625">
      <c r="J625" s="5"/>
      <c r="K625" s="5"/>
    </row>
    <row r="626">
      <c r="J626" s="5"/>
      <c r="K626" s="5"/>
    </row>
    <row r="627">
      <c r="J627" s="5"/>
      <c r="K627" s="5"/>
    </row>
    <row r="628">
      <c r="J628" s="5"/>
      <c r="K628" s="5"/>
    </row>
    <row r="629">
      <c r="J629" s="5"/>
      <c r="K629" s="5"/>
    </row>
    <row r="630">
      <c r="J630" s="5"/>
      <c r="K630" s="5"/>
    </row>
    <row r="631">
      <c r="J631" s="5"/>
      <c r="K631" s="5"/>
    </row>
    <row r="632">
      <c r="J632" s="5"/>
      <c r="K632" s="5"/>
    </row>
    <row r="633">
      <c r="J633" s="5"/>
      <c r="K633" s="5"/>
    </row>
    <row r="634">
      <c r="J634" s="5"/>
      <c r="K634" s="5"/>
    </row>
    <row r="635">
      <c r="J635" s="5"/>
      <c r="K635" s="5"/>
    </row>
    <row r="636">
      <c r="J636" s="5"/>
      <c r="K636" s="5"/>
    </row>
    <row r="637">
      <c r="J637" s="5"/>
      <c r="K637" s="5"/>
    </row>
    <row r="638">
      <c r="J638" s="5"/>
      <c r="K638" s="5"/>
    </row>
    <row r="639">
      <c r="J639" s="5"/>
      <c r="K639" s="5"/>
    </row>
    <row r="640">
      <c r="J640" s="5"/>
      <c r="K640" s="5"/>
    </row>
    <row r="641">
      <c r="J641" s="5"/>
      <c r="K641" s="5"/>
    </row>
    <row r="642">
      <c r="J642" s="5"/>
      <c r="K642" s="5"/>
    </row>
    <row r="643">
      <c r="J643" s="5"/>
      <c r="K643" s="5"/>
    </row>
    <row r="644">
      <c r="J644" s="5"/>
      <c r="K644" s="5"/>
    </row>
    <row r="645">
      <c r="J645" s="5"/>
      <c r="K645" s="5"/>
    </row>
    <row r="646">
      <c r="J646" s="5"/>
      <c r="K646" s="5"/>
    </row>
    <row r="647">
      <c r="J647" s="5"/>
      <c r="K647" s="5"/>
    </row>
    <row r="648">
      <c r="J648" s="5"/>
      <c r="K648" s="5"/>
    </row>
    <row r="649">
      <c r="J649" s="5"/>
      <c r="K649" s="5"/>
    </row>
    <row r="650">
      <c r="J650" s="5"/>
      <c r="K650" s="5"/>
    </row>
    <row r="651">
      <c r="J651" s="5"/>
      <c r="K651" s="5"/>
    </row>
    <row r="652">
      <c r="J652" s="5"/>
      <c r="K652" s="5"/>
    </row>
    <row r="653">
      <c r="J653" s="5"/>
      <c r="K653" s="5"/>
    </row>
    <row r="654">
      <c r="J654" s="5"/>
      <c r="K654" s="5"/>
    </row>
    <row r="655">
      <c r="J655" s="5"/>
      <c r="K655" s="5"/>
    </row>
    <row r="656">
      <c r="J656" s="5"/>
      <c r="K656" s="5"/>
    </row>
    <row r="657">
      <c r="J657" s="5"/>
      <c r="K657" s="5"/>
    </row>
    <row r="658">
      <c r="J658" s="5"/>
      <c r="K658" s="5"/>
    </row>
    <row r="659">
      <c r="J659" s="5"/>
      <c r="K659" s="5"/>
    </row>
    <row r="660">
      <c r="J660" s="5"/>
      <c r="K660" s="5"/>
    </row>
    <row r="661">
      <c r="J661" s="5"/>
      <c r="K661" s="5"/>
    </row>
    <row r="662">
      <c r="J662" s="5"/>
      <c r="K662" s="5"/>
    </row>
    <row r="663">
      <c r="J663" s="5"/>
      <c r="K663" s="5"/>
    </row>
    <row r="664">
      <c r="J664" s="5"/>
      <c r="K664" s="5"/>
    </row>
    <row r="665">
      <c r="J665" s="5"/>
      <c r="K665" s="5"/>
    </row>
    <row r="666">
      <c r="J666" s="5"/>
      <c r="K666" s="5"/>
    </row>
    <row r="667">
      <c r="J667" s="5"/>
      <c r="K667" s="5"/>
    </row>
    <row r="668">
      <c r="J668" s="5"/>
      <c r="K668" s="5"/>
    </row>
    <row r="669">
      <c r="J669" s="5"/>
      <c r="K669" s="5"/>
    </row>
    <row r="670">
      <c r="J670" s="5"/>
      <c r="K670" s="5"/>
    </row>
    <row r="671">
      <c r="J671" s="5"/>
      <c r="K671" s="5"/>
    </row>
    <row r="672">
      <c r="J672" s="5"/>
      <c r="K672" s="5"/>
    </row>
    <row r="673">
      <c r="J673" s="5"/>
      <c r="K673" s="5"/>
    </row>
    <row r="674">
      <c r="J674" s="5"/>
      <c r="K674" s="5"/>
    </row>
    <row r="675">
      <c r="J675" s="5"/>
      <c r="K675" s="5"/>
    </row>
    <row r="676">
      <c r="J676" s="5"/>
      <c r="K676" s="5"/>
    </row>
    <row r="677">
      <c r="J677" s="5"/>
      <c r="K677" s="5"/>
    </row>
    <row r="678">
      <c r="J678" s="5"/>
      <c r="K678" s="5"/>
    </row>
    <row r="679">
      <c r="J679" s="5"/>
      <c r="K679" s="5"/>
    </row>
    <row r="680">
      <c r="J680" s="5"/>
      <c r="K680" s="5"/>
    </row>
    <row r="681">
      <c r="J681" s="5"/>
      <c r="K681" s="5"/>
    </row>
    <row r="682">
      <c r="J682" s="5"/>
      <c r="K682" s="5"/>
    </row>
    <row r="683">
      <c r="J683" s="5"/>
      <c r="K683" s="5"/>
    </row>
    <row r="684">
      <c r="J684" s="5"/>
      <c r="K684" s="5"/>
    </row>
    <row r="685">
      <c r="J685" s="5"/>
      <c r="K685" s="5"/>
    </row>
    <row r="686">
      <c r="J686" s="5"/>
      <c r="K686" s="5"/>
    </row>
    <row r="687">
      <c r="J687" s="5"/>
      <c r="K687" s="5"/>
    </row>
    <row r="688">
      <c r="J688" s="5"/>
      <c r="K688" s="5"/>
    </row>
    <row r="689">
      <c r="J689" s="5"/>
      <c r="K689" s="5"/>
    </row>
    <row r="690">
      <c r="J690" s="5"/>
      <c r="K690" s="5"/>
    </row>
    <row r="691">
      <c r="J691" s="5"/>
      <c r="K691" s="5"/>
    </row>
    <row r="692">
      <c r="J692" s="5"/>
      <c r="K692" s="5"/>
    </row>
    <row r="693">
      <c r="J693" s="5"/>
      <c r="K693" s="5"/>
    </row>
    <row r="694">
      <c r="J694" s="5"/>
      <c r="K694" s="5"/>
    </row>
    <row r="695">
      <c r="J695" s="5"/>
      <c r="K695" s="5"/>
    </row>
    <row r="696">
      <c r="J696" s="5"/>
      <c r="K696" s="5"/>
    </row>
    <row r="697">
      <c r="J697" s="5"/>
      <c r="K697" s="5"/>
    </row>
    <row r="698">
      <c r="J698" s="5"/>
      <c r="K698" s="5"/>
    </row>
    <row r="699">
      <c r="J699" s="5"/>
      <c r="K699" s="5"/>
    </row>
    <row r="700">
      <c r="J700" s="5"/>
      <c r="K700" s="5"/>
    </row>
    <row r="701">
      <c r="J701" s="5"/>
      <c r="K701" s="5"/>
    </row>
    <row r="702">
      <c r="J702" s="5"/>
      <c r="K702" s="5"/>
    </row>
    <row r="703">
      <c r="J703" s="5"/>
      <c r="K703" s="5"/>
    </row>
    <row r="704">
      <c r="J704" s="5"/>
      <c r="K704" s="5"/>
    </row>
    <row r="705">
      <c r="J705" s="5"/>
      <c r="K705" s="5"/>
    </row>
    <row r="706">
      <c r="J706" s="5"/>
      <c r="K706" s="5"/>
    </row>
    <row r="707">
      <c r="J707" s="5"/>
      <c r="K707" s="5"/>
    </row>
    <row r="708">
      <c r="J708" s="5"/>
      <c r="K708" s="5"/>
    </row>
    <row r="709">
      <c r="J709" s="5"/>
      <c r="K709" s="5"/>
    </row>
    <row r="710">
      <c r="J710" s="5"/>
      <c r="K710" s="5"/>
    </row>
    <row r="711">
      <c r="J711" s="5"/>
      <c r="K711" s="5"/>
    </row>
    <row r="712">
      <c r="J712" s="5"/>
      <c r="K712" s="5"/>
    </row>
    <row r="713">
      <c r="J713" s="5"/>
      <c r="K713" s="5"/>
    </row>
    <row r="714">
      <c r="J714" s="5"/>
      <c r="K714" s="5"/>
    </row>
    <row r="715">
      <c r="J715" s="5"/>
      <c r="K715" s="5"/>
    </row>
    <row r="716">
      <c r="J716" s="5"/>
      <c r="K716" s="5"/>
    </row>
    <row r="717">
      <c r="J717" s="5"/>
      <c r="K717" s="5"/>
    </row>
    <row r="718">
      <c r="J718" s="5"/>
      <c r="K718" s="5"/>
    </row>
    <row r="719">
      <c r="J719" s="5"/>
      <c r="K719" s="5"/>
    </row>
    <row r="720">
      <c r="J720" s="5"/>
      <c r="K720" s="5"/>
    </row>
    <row r="721">
      <c r="J721" s="5"/>
      <c r="K721" s="5"/>
    </row>
    <row r="722">
      <c r="J722" s="5"/>
      <c r="K722" s="5"/>
    </row>
    <row r="723">
      <c r="J723" s="5"/>
      <c r="K723" s="5"/>
    </row>
    <row r="724">
      <c r="J724" s="5"/>
      <c r="K724" s="5"/>
    </row>
    <row r="725">
      <c r="J725" s="5"/>
      <c r="K725" s="5"/>
    </row>
    <row r="726">
      <c r="J726" s="5"/>
      <c r="K726" s="5"/>
    </row>
    <row r="727">
      <c r="J727" s="5"/>
      <c r="K727" s="5"/>
    </row>
    <row r="728">
      <c r="J728" s="5"/>
      <c r="K728" s="5"/>
    </row>
    <row r="729">
      <c r="J729" s="5"/>
      <c r="K729" s="5"/>
    </row>
    <row r="730">
      <c r="J730" s="5"/>
      <c r="K730" s="5"/>
    </row>
    <row r="731">
      <c r="J731" s="5"/>
      <c r="K731" s="5"/>
    </row>
    <row r="732">
      <c r="J732" s="5"/>
      <c r="K732" s="5"/>
    </row>
    <row r="733">
      <c r="J733" s="5"/>
      <c r="K733" s="5"/>
    </row>
    <row r="734">
      <c r="J734" s="5"/>
      <c r="K734" s="5"/>
    </row>
    <row r="735">
      <c r="J735" s="5"/>
      <c r="K735" s="5"/>
    </row>
    <row r="736">
      <c r="J736" s="5"/>
      <c r="K736" s="5"/>
    </row>
    <row r="737">
      <c r="J737" s="5"/>
      <c r="K737" s="5"/>
    </row>
    <row r="738">
      <c r="J738" s="5"/>
      <c r="K738" s="5"/>
    </row>
    <row r="739">
      <c r="J739" s="5"/>
      <c r="K739" s="5"/>
    </row>
    <row r="740">
      <c r="J740" s="5"/>
      <c r="K740" s="5"/>
    </row>
    <row r="741">
      <c r="J741" s="5"/>
      <c r="K741" s="5"/>
    </row>
    <row r="742">
      <c r="J742" s="5"/>
      <c r="K742" s="5"/>
    </row>
    <row r="743">
      <c r="J743" s="5"/>
      <c r="K743" s="5"/>
    </row>
    <row r="744">
      <c r="J744" s="5"/>
      <c r="K744" s="5"/>
    </row>
    <row r="745">
      <c r="J745" s="5"/>
      <c r="K745" s="5"/>
    </row>
    <row r="746">
      <c r="J746" s="5"/>
      <c r="K746" s="5"/>
    </row>
    <row r="747">
      <c r="J747" s="5"/>
      <c r="K747" s="5"/>
    </row>
    <row r="748">
      <c r="J748" s="5"/>
      <c r="K748" s="5"/>
    </row>
    <row r="749">
      <c r="J749" s="5"/>
      <c r="K749" s="5"/>
    </row>
    <row r="750">
      <c r="J750" s="5"/>
      <c r="K750" s="5"/>
    </row>
    <row r="751">
      <c r="J751" s="5"/>
      <c r="K751" s="5"/>
    </row>
    <row r="752">
      <c r="J752" s="5"/>
      <c r="K752" s="5"/>
    </row>
    <row r="753">
      <c r="J753" s="5"/>
      <c r="K753" s="5"/>
    </row>
    <row r="754">
      <c r="J754" s="5"/>
      <c r="K754" s="5"/>
    </row>
    <row r="755">
      <c r="J755" s="5"/>
      <c r="K755" s="5"/>
    </row>
    <row r="756">
      <c r="J756" s="5"/>
      <c r="K756" s="5"/>
    </row>
    <row r="757">
      <c r="J757" s="5"/>
      <c r="K757" s="5"/>
    </row>
    <row r="758">
      <c r="J758" s="5"/>
      <c r="K758" s="5"/>
    </row>
    <row r="759">
      <c r="J759" s="5"/>
      <c r="K759" s="5"/>
    </row>
    <row r="760">
      <c r="J760" s="5"/>
      <c r="K760" s="5"/>
    </row>
    <row r="761">
      <c r="J761" s="5"/>
      <c r="K761" s="5"/>
    </row>
    <row r="762">
      <c r="J762" s="5"/>
      <c r="K762" s="5"/>
    </row>
    <row r="763">
      <c r="J763" s="5"/>
      <c r="K763" s="5"/>
    </row>
    <row r="764">
      <c r="J764" s="5"/>
      <c r="K764" s="5"/>
    </row>
    <row r="765">
      <c r="J765" s="5"/>
      <c r="K765" s="5"/>
    </row>
    <row r="766">
      <c r="J766" s="5"/>
      <c r="K766" s="5"/>
    </row>
    <row r="767">
      <c r="J767" s="5"/>
      <c r="K767" s="5"/>
    </row>
    <row r="768">
      <c r="J768" s="5"/>
      <c r="K768" s="5"/>
    </row>
    <row r="769">
      <c r="J769" s="5"/>
      <c r="K769" s="5"/>
    </row>
    <row r="770">
      <c r="J770" s="5"/>
      <c r="K770" s="5"/>
    </row>
    <row r="771">
      <c r="J771" s="5"/>
      <c r="K771" s="5"/>
    </row>
    <row r="772">
      <c r="J772" s="5"/>
      <c r="K772" s="5"/>
    </row>
    <row r="773">
      <c r="J773" s="5"/>
      <c r="K773" s="5"/>
    </row>
    <row r="774">
      <c r="J774" s="5"/>
      <c r="K774" s="5"/>
    </row>
    <row r="775">
      <c r="J775" s="5"/>
      <c r="K775" s="5"/>
    </row>
    <row r="776">
      <c r="J776" s="5"/>
      <c r="K776" s="5"/>
    </row>
    <row r="777">
      <c r="J777" s="5"/>
      <c r="K777" s="5"/>
    </row>
    <row r="778">
      <c r="J778" s="5"/>
      <c r="K778" s="5"/>
    </row>
    <row r="779">
      <c r="J779" s="5"/>
      <c r="K779" s="5"/>
    </row>
    <row r="780">
      <c r="J780" s="5"/>
      <c r="K780" s="5"/>
    </row>
    <row r="781">
      <c r="J781" s="5"/>
      <c r="K781" s="5"/>
    </row>
    <row r="782">
      <c r="J782" s="5"/>
      <c r="K782" s="5"/>
    </row>
    <row r="783">
      <c r="J783" s="5"/>
      <c r="K783" s="5"/>
    </row>
    <row r="784">
      <c r="J784" s="5"/>
      <c r="K784" s="5"/>
    </row>
    <row r="785">
      <c r="J785" s="5"/>
      <c r="K785" s="5"/>
    </row>
    <row r="786">
      <c r="J786" s="5"/>
      <c r="K786" s="5"/>
    </row>
    <row r="787">
      <c r="J787" s="5"/>
      <c r="K787" s="5"/>
    </row>
    <row r="788">
      <c r="J788" s="5"/>
      <c r="K788" s="5"/>
    </row>
    <row r="789">
      <c r="J789" s="5"/>
      <c r="K789" s="5"/>
    </row>
    <row r="790">
      <c r="J790" s="5"/>
      <c r="K790" s="5"/>
    </row>
    <row r="791">
      <c r="J791" s="5"/>
      <c r="K791" s="5"/>
    </row>
    <row r="792">
      <c r="J792" s="5"/>
      <c r="K792" s="5"/>
    </row>
    <row r="793">
      <c r="J793" s="5"/>
      <c r="K793" s="5"/>
    </row>
    <row r="794">
      <c r="J794" s="5"/>
      <c r="K794" s="5"/>
    </row>
    <row r="795">
      <c r="J795" s="5"/>
      <c r="K795" s="5"/>
    </row>
    <row r="796">
      <c r="J796" s="5"/>
      <c r="K796" s="5"/>
    </row>
    <row r="797">
      <c r="J797" s="5"/>
      <c r="K797" s="5"/>
    </row>
    <row r="798">
      <c r="J798" s="5"/>
      <c r="K798" s="5"/>
    </row>
    <row r="799">
      <c r="J799" s="5"/>
      <c r="K799" s="5"/>
    </row>
    <row r="800">
      <c r="J800" s="5"/>
      <c r="K800" s="5"/>
    </row>
    <row r="801">
      <c r="J801" s="5"/>
      <c r="K801" s="5"/>
    </row>
    <row r="802">
      <c r="J802" s="5"/>
      <c r="K802" s="5"/>
    </row>
    <row r="803">
      <c r="J803" s="5"/>
      <c r="K803" s="5"/>
    </row>
    <row r="804">
      <c r="J804" s="5"/>
      <c r="K804" s="5"/>
    </row>
    <row r="805">
      <c r="J805" s="5"/>
      <c r="K805" s="5"/>
    </row>
    <row r="806">
      <c r="J806" s="5"/>
      <c r="K806" s="5"/>
    </row>
    <row r="807">
      <c r="J807" s="5"/>
      <c r="K807" s="5"/>
    </row>
    <row r="808">
      <c r="J808" s="5"/>
      <c r="K808" s="5"/>
    </row>
    <row r="809">
      <c r="J809" s="5"/>
      <c r="K809" s="5"/>
    </row>
    <row r="810">
      <c r="J810" s="5"/>
      <c r="K810" s="5"/>
    </row>
    <row r="811">
      <c r="J811" s="5"/>
      <c r="K811" s="5"/>
    </row>
    <row r="812">
      <c r="J812" s="5"/>
      <c r="K812" s="5"/>
    </row>
    <row r="813">
      <c r="J813" s="5"/>
      <c r="K813" s="5"/>
    </row>
    <row r="814">
      <c r="J814" s="5"/>
      <c r="K814" s="5"/>
    </row>
    <row r="815">
      <c r="J815" s="5"/>
      <c r="K815" s="5"/>
    </row>
    <row r="816">
      <c r="J816" s="5"/>
      <c r="K816" s="5"/>
    </row>
    <row r="817">
      <c r="J817" s="5"/>
      <c r="K817" s="5"/>
    </row>
    <row r="818">
      <c r="J818" s="5"/>
      <c r="K818" s="5"/>
    </row>
    <row r="819">
      <c r="J819" s="5"/>
      <c r="K819" s="5"/>
    </row>
    <row r="820">
      <c r="J820" s="5"/>
      <c r="K820" s="5"/>
    </row>
    <row r="821">
      <c r="J821" s="5"/>
      <c r="K821" s="5"/>
    </row>
    <row r="822">
      <c r="J822" s="5"/>
      <c r="K822" s="5"/>
    </row>
    <row r="823">
      <c r="J823" s="5"/>
      <c r="K823" s="5"/>
    </row>
    <row r="824">
      <c r="J824" s="5"/>
      <c r="K824" s="5"/>
    </row>
    <row r="825">
      <c r="J825" s="5"/>
      <c r="K825" s="5"/>
    </row>
    <row r="826">
      <c r="J826" s="5"/>
      <c r="K826" s="5"/>
    </row>
    <row r="827">
      <c r="J827" s="5"/>
      <c r="K827" s="5"/>
    </row>
    <row r="828">
      <c r="J828" s="5"/>
      <c r="K828" s="5"/>
    </row>
    <row r="829">
      <c r="J829" s="5"/>
      <c r="K829" s="5"/>
    </row>
    <row r="830">
      <c r="J830" s="5"/>
      <c r="K830" s="5"/>
    </row>
    <row r="831">
      <c r="J831" s="5"/>
      <c r="K831" s="5"/>
    </row>
    <row r="832">
      <c r="J832" s="5"/>
      <c r="K832" s="5"/>
    </row>
    <row r="833">
      <c r="J833" s="5"/>
      <c r="K833" s="5"/>
    </row>
    <row r="834">
      <c r="J834" s="5"/>
      <c r="K834" s="5"/>
    </row>
    <row r="835">
      <c r="J835" s="5"/>
      <c r="K835" s="5"/>
    </row>
    <row r="836">
      <c r="J836" s="5"/>
      <c r="K836" s="5"/>
    </row>
    <row r="837">
      <c r="J837" s="5"/>
      <c r="K837" s="5"/>
    </row>
    <row r="838">
      <c r="J838" s="5"/>
      <c r="K838" s="5"/>
    </row>
    <row r="839">
      <c r="J839" s="5"/>
      <c r="K839" s="5"/>
    </row>
    <row r="840">
      <c r="J840" s="5"/>
      <c r="K840" s="5"/>
    </row>
    <row r="841">
      <c r="J841" s="5"/>
      <c r="K841" s="5"/>
    </row>
    <row r="842">
      <c r="J842" s="5"/>
      <c r="K842" s="5"/>
    </row>
    <row r="843">
      <c r="J843" s="5"/>
      <c r="K843" s="5"/>
    </row>
    <row r="844">
      <c r="J844" s="5"/>
      <c r="K844" s="5"/>
    </row>
    <row r="845">
      <c r="J845" s="5"/>
      <c r="K845" s="5"/>
    </row>
    <row r="846">
      <c r="J846" s="5"/>
      <c r="K846" s="5"/>
    </row>
    <row r="847">
      <c r="J847" s="5"/>
      <c r="K847" s="5"/>
    </row>
    <row r="848">
      <c r="J848" s="5"/>
      <c r="K848" s="5"/>
    </row>
    <row r="849">
      <c r="J849" s="5"/>
      <c r="K849" s="5"/>
    </row>
    <row r="850">
      <c r="J850" s="5"/>
      <c r="K850" s="5"/>
    </row>
    <row r="851">
      <c r="J851" s="5"/>
      <c r="K851" s="5"/>
    </row>
    <row r="852">
      <c r="J852" s="5"/>
      <c r="K852" s="5"/>
    </row>
    <row r="853">
      <c r="J853" s="5"/>
      <c r="K853" s="5"/>
    </row>
    <row r="854">
      <c r="J854" s="5"/>
      <c r="K854" s="5"/>
    </row>
    <row r="855">
      <c r="J855" s="5"/>
      <c r="K855" s="5"/>
    </row>
    <row r="856">
      <c r="J856" s="5"/>
      <c r="K856" s="5"/>
    </row>
    <row r="857">
      <c r="J857" s="5"/>
      <c r="K857" s="5"/>
    </row>
    <row r="858">
      <c r="J858" s="5"/>
      <c r="K858" s="5"/>
    </row>
    <row r="859">
      <c r="J859" s="5"/>
      <c r="K859" s="5"/>
    </row>
    <row r="860">
      <c r="J860" s="5"/>
      <c r="K860" s="5"/>
    </row>
    <row r="861">
      <c r="J861" s="5"/>
      <c r="K861" s="5"/>
    </row>
    <row r="862">
      <c r="J862" s="5"/>
      <c r="K862" s="5"/>
    </row>
    <row r="863">
      <c r="J863" s="5"/>
      <c r="K863" s="5"/>
    </row>
    <row r="864">
      <c r="J864" s="5"/>
      <c r="K864" s="5"/>
    </row>
    <row r="865">
      <c r="J865" s="5"/>
      <c r="K865" s="5"/>
    </row>
    <row r="866">
      <c r="J866" s="5"/>
      <c r="K866" s="5"/>
    </row>
    <row r="867">
      <c r="J867" s="5"/>
      <c r="K867" s="5"/>
    </row>
    <row r="868">
      <c r="J868" s="5"/>
      <c r="K868" s="5"/>
    </row>
    <row r="869">
      <c r="J869" s="5"/>
      <c r="K869" s="5"/>
    </row>
    <row r="870">
      <c r="J870" s="5"/>
      <c r="K870" s="5"/>
    </row>
    <row r="871">
      <c r="J871" s="5"/>
      <c r="K871" s="5"/>
    </row>
    <row r="872">
      <c r="J872" s="5"/>
      <c r="K872" s="5"/>
    </row>
    <row r="873">
      <c r="J873" s="5"/>
      <c r="K873" s="5"/>
    </row>
    <row r="874">
      <c r="J874" s="5"/>
      <c r="K874" s="5"/>
    </row>
    <row r="875">
      <c r="J875" s="5"/>
      <c r="K875" s="5"/>
    </row>
    <row r="876">
      <c r="J876" s="5"/>
      <c r="K876" s="5"/>
    </row>
    <row r="877">
      <c r="J877" s="5"/>
      <c r="K877" s="5"/>
    </row>
    <row r="878">
      <c r="J878" s="5"/>
      <c r="K878" s="5"/>
    </row>
    <row r="879">
      <c r="J879" s="5"/>
      <c r="K879" s="5"/>
    </row>
    <row r="880">
      <c r="J880" s="5"/>
      <c r="K880" s="5"/>
    </row>
    <row r="881">
      <c r="J881" s="5"/>
      <c r="K881" s="5"/>
    </row>
    <row r="882">
      <c r="J882" s="5"/>
      <c r="K882" s="5"/>
    </row>
    <row r="883">
      <c r="J883" s="5"/>
      <c r="K883" s="5"/>
    </row>
    <row r="884">
      <c r="J884" s="5"/>
      <c r="K884" s="5"/>
    </row>
    <row r="885">
      <c r="J885" s="5"/>
      <c r="K885" s="5"/>
    </row>
    <row r="886">
      <c r="J886" s="5"/>
      <c r="K886" s="5"/>
    </row>
    <row r="887">
      <c r="J887" s="5"/>
      <c r="K887" s="5"/>
    </row>
    <row r="888">
      <c r="J888" s="5"/>
      <c r="K888" s="5"/>
    </row>
    <row r="889">
      <c r="J889" s="5"/>
      <c r="K889" s="5"/>
    </row>
    <row r="890">
      <c r="J890" s="5"/>
      <c r="K890" s="5"/>
    </row>
    <row r="891">
      <c r="J891" s="5"/>
      <c r="K891" s="5"/>
    </row>
    <row r="892">
      <c r="J892" s="5"/>
      <c r="K892" s="5"/>
    </row>
    <row r="893">
      <c r="J893" s="5"/>
      <c r="K893" s="5"/>
    </row>
    <row r="894">
      <c r="J894" s="5"/>
      <c r="K894" s="5"/>
    </row>
    <row r="895">
      <c r="J895" s="5"/>
      <c r="K895" s="5"/>
    </row>
    <row r="896">
      <c r="J896" s="5"/>
      <c r="K896" s="5"/>
    </row>
    <row r="897">
      <c r="J897" s="5"/>
      <c r="K897" s="5"/>
    </row>
    <row r="898">
      <c r="J898" s="5"/>
      <c r="K898" s="5"/>
    </row>
    <row r="899">
      <c r="J899" s="5"/>
      <c r="K899" s="5"/>
    </row>
    <row r="900">
      <c r="J900" s="5"/>
      <c r="K900" s="5"/>
    </row>
    <row r="901">
      <c r="J901" s="5"/>
      <c r="K901" s="5"/>
    </row>
    <row r="902">
      <c r="J902" s="5"/>
      <c r="K902" s="5"/>
    </row>
    <row r="903">
      <c r="J903" s="5"/>
      <c r="K903" s="5"/>
    </row>
    <row r="904">
      <c r="J904" s="5"/>
      <c r="K904" s="5"/>
    </row>
    <row r="905">
      <c r="J905" s="5"/>
      <c r="K905" s="5"/>
    </row>
    <row r="906">
      <c r="J906" s="5"/>
      <c r="K906" s="5"/>
    </row>
    <row r="907">
      <c r="J907" s="5"/>
      <c r="K907" s="5"/>
    </row>
    <row r="908">
      <c r="J908" s="5"/>
      <c r="K908" s="5"/>
    </row>
    <row r="909">
      <c r="J909" s="5"/>
      <c r="K909" s="5"/>
    </row>
    <row r="910">
      <c r="J910" s="5"/>
      <c r="K910" s="5"/>
    </row>
    <row r="911">
      <c r="J911" s="5"/>
      <c r="K911" s="5"/>
    </row>
    <row r="912">
      <c r="J912" s="5"/>
      <c r="K912" s="5"/>
    </row>
    <row r="913">
      <c r="J913" s="5"/>
      <c r="K913" s="5"/>
    </row>
    <row r="914">
      <c r="J914" s="5"/>
      <c r="K914" s="5"/>
    </row>
    <row r="915">
      <c r="J915" s="5"/>
      <c r="K915" s="5"/>
    </row>
    <row r="916">
      <c r="J916" s="5"/>
      <c r="K916" s="5"/>
    </row>
    <row r="917">
      <c r="J917" s="5"/>
      <c r="K917" s="5"/>
    </row>
    <row r="918">
      <c r="J918" s="5"/>
      <c r="K918" s="5"/>
    </row>
    <row r="919">
      <c r="J919" s="5"/>
      <c r="K919" s="5"/>
    </row>
    <row r="920">
      <c r="J920" s="5"/>
      <c r="K920" s="5"/>
    </row>
    <row r="921">
      <c r="J921" s="5"/>
      <c r="K921" s="5"/>
    </row>
    <row r="922">
      <c r="J922" s="5"/>
      <c r="K922" s="5"/>
    </row>
    <row r="923">
      <c r="J923" s="5"/>
      <c r="K923" s="5"/>
    </row>
    <row r="924">
      <c r="J924" s="5"/>
      <c r="K924" s="5"/>
    </row>
    <row r="925">
      <c r="J925" s="5"/>
      <c r="K925" s="5"/>
    </row>
    <row r="926">
      <c r="J926" s="5"/>
      <c r="K926" s="5"/>
    </row>
    <row r="927">
      <c r="J927" s="5"/>
      <c r="K927" s="5"/>
    </row>
    <row r="928">
      <c r="J928" s="5"/>
      <c r="K928" s="5"/>
    </row>
    <row r="929">
      <c r="J929" s="5"/>
      <c r="K929" s="5"/>
    </row>
    <row r="930">
      <c r="J930" s="5"/>
      <c r="K930" s="5"/>
    </row>
    <row r="931">
      <c r="J931" s="5"/>
      <c r="K931" s="5"/>
    </row>
    <row r="932">
      <c r="J932" s="5"/>
      <c r="K932" s="5"/>
    </row>
    <row r="933">
      <c r="J933" s="5"/>
      <c r="K933" s="5"/>
    </row>
    <row r="934">
      <c r="J934" s="5"/>
      <c r="K934" s="5"/>
    </row>
    <row r="935">
      <c r="J935" s="5"/>
      <c r="K935" s="5"/>
    </row>
    <row r="936">
      <c r="J936" s="5"/>
      <c r="K936" s="5"/>
    </row>
    <row r="937">
      <c r="J937" s="5"/>
      <c r="K937" s="5"/>
    </row>
    <row r="938">
      <c r="J938" s="5"/>
      <c r="K938" s="5"/>
    </row>
    <row r="939">
      <c r="J939" s="5"/>
      <c r="K939" s="5"/>
    </row>
    <row r="940">
      <c r="J940" s="5"/>
      <c r="K940" s="5"/>
    </row>
    <row r="941">
      <c r="J941" s="5"/>
      <c r="K941" s="5"/>
    </row>
    <row r="942">
      <c r="J942" s="5"/>
      <c r="K942" s="5"/>
    </row>
    <row r="943">
      <c r="J943" s="5"/>
      <c r="K943" s="5"/>
    </row>
    <row r="944">
      <c r="J944" s="5"/>
      <c r="K944" s="5"/>
    </row>
    <row r="945">
      <c r="J945" s="5"/>
      <c r="K945" s="5"/>
    </row>
    <row r="946">
      <c r="J946" s="5"/>
      <c r="K946" s="5"/>
    </row>
    <row r="947">
      <c r="J947" s="5"/>
      <c r="K947" s="5"/>
    </row>
    <row r="948">
      <c r="J948" s="5"/>
      <c r="K948" s="5"/>
    </row>
    <row r="949">
      <c r="J949" s="5"/>
      <c r="K949" s="5"/>
    </row>
    <row r="950">
      <c r="J950" s="5"/>
      <c r="K950" s="5"/>
    </row>
    <row r="951">
      <c r="J951" s="5"/>
      <c r="K951" s="5"/>
    </row>
    <row r="952">
      <c r="J952" s="5"/>
      <c r="K952" s="5"/>
    </row>
    <row r="953">
      <c r="J953" s="5"/>
      <c r="K953" s="5"/>
    </row>
    <row r="954">
      <c r="J954" s="5"/>
      <c r="K954" s="5"/>
    </row>
    <row r="955">
      <c r="J955" s="5"/>
      <c r="K955" s="5"/>
    </row>
    <row r="956">
      <c r="J956" s="5"/>
      <c r="K956" s="5"/>
    </row>
    <row r="957">
      <c r="J957" s="5"/>
      <c r="K957" s="5"/>
    </row>
  </sheetData>
  <dataValidations>
    <dataValidation type="list" allowBlank="1" sqref="AH2:AJ2 AH4:AJ53">
      <formula1>",A+++,A++,A+,A,A,B,C,D,E,F,G"</formula1>
    </dataValidation>
    <dataValidation type="list" allowBlank="1" sqref="AC2 AC4:AC53">
      <formula1>",newborn,infant,toddler,children,adult"</formula1>
    </dataValidation>
    <dataValidation type="list" allowBlank="1" sqref="X2 X4:X53">
      <formula1>",regular,petite,plus,tall,big,maternity"</formula1>
    </dataValidation>
    <dataValidation type="list" allowBlank="1" sqref="Z2 Z4:Z53">
      <formula1>",female,male,unisex"</formula1>
    </dataValidation>
    <dataValidation type="list" allowBlank="1" sqref="U2 U4:U53">
      <formula1>",yes,no"</formula1>
    </dataValidation>
    <dataValidation type="list" allowBlank="1" showErrorMessage="1" sqref="D2 D4:D53">
      <formula1>"in_stock,out_of_stock,preorder,backorder"</formula1>
    </dataValidation>
    <dataValidation type="list" allowBlank="1" sqref="T2 T4:T53">
      <formula1>",new,refurbished,used"</formula1>
    </dataValidation>
    <dataValidation type="list" allowBlank="1" showErrorMessage="1" sqref="M2 M4:M53">
      <formula1>",yes,no"</formula1>
    </dataValidation>
  </dataValidations>
  <hyperlinks>
    <hyperlink r:id="rId1" ref="H8"/>
    <hyperlink r:id="rId2" ref="J39"/>
  </hyperlinks>
  <drawing r:id="rId3"/>
</worksheet>
</file>